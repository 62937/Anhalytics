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73cf9de1688bf0f/Desktop/MDBS 210 - Business Analytics/Project/submitted/"/>
    </mc:Choice>
  </mc:AlternateContent>
  <xr:revisionPtr revIDLastSave="3079" documentId="8_{041E6FD1-0929-4862-A064-1ABFF01D58FD}" xr6:coauthVersionLast="47" xr6:coauthVersionMax="47" xr10:uidLastSave="{00CBC22B-6DEC-43B1-AD46-D1C946881D57}"/>
  <bookViews>
    <workbookView xWindow="-108" yWindow="-108" windowWidth="23256" windowHeight="12456" tabRatio="865" xr2:uid="{593AD686-B7F1-4408-8F47-02E7E062B16F}"/>
  </bookViews>
  <sheets>
    <sheet name="Natural Diamond Data" sheetId="6" r:id="rId1"/>
    <sheet name="Lab-Grown Diamond Data" sheetId="7" r:id="rId2"/>
    <sheet name="Data Summary" sheetId="5" r:id="rId3"/>
    <sheet name="Q2 Heat Map" sheetId="19" r:id="rId4"/>
    <sheet name="Q3 Scatter-Line Charts" sheetId="26" r:id="rId5"/>
    <sheet name="Q4 Regresstion Equation" sheetId="16" r:id="rId6"/>
    <sheet name="Q5 Covarriance" sheetId="18" r:id="rId7"/>
    <sheet name="Q6 Interval Estimate" sheetId="9" r:id="rId8"/>
    <sheet name="Dashboard" sheetId="25" r:id="rId9"/>
  </sheets>
  <externalReferences>
    <externalReference r:id="rId10"/>
  </externalReferences>
  <definedNames>
    <definedName name="_xlcn.WorksheetConnection_NaturalDiamondDataI78N99" hidden="1">'Natural Diamond Data'!$I$78:$N$99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 7" name="Range 7" connection="WorksheetConnection_Natural Diamond Data!$I$78:$N$9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70" i="25" l="1"/>
  <c r="BG69" i="25"/>
  <c r="BG68" i="25"/>
  <c r="BG67" i="25"/>
  <c r="BG66" i="25"/>
  <c r="BG65" i="25"/>
  <c r="BG64" i="25"/>
  <c r="BG63" i="25"/>
  <c r="BG62" i="25"/>
  <c r="BG61" i="25"/>
  <c r="BG60" i="25"/>
  <c r="BG59" i="25"/>
  <c r="BG58" i="25"/>
  <c r="BG57" i="25"/>
  <c r="BG56" i="25"/>
  <c r="BG55" i="25"/>
  <c r="BG54" i="25"/>
  <c r="BG53" i="25"/>
  <c r="BG52" i="25"/>
  <c r="BG51" i="25"/>
  <c r="BG50" i="25"/>
  <c r="BG49" i="25"/>
  <c r="BG48" i="25"/>
  <c r="BG47" i="25"/>
  <c r="BG46" i="25"/>
  <c r="BG45" i="25"/>
  <c r="BG44" i="25"/>
  <c r="BG43" i="25"/>
  <c r="BG42" i="25"/>
  <c r="BG41" i="25"/>
  <c r="BG36" i="25"/>
  <c r="L36" i="18"/>
  <c r="N36" i="18" s="1"/>
  <c r="Q36" i="18" s="1"/>
  <c r="L35" i="18"/>
  <c r="N35" i="18" s="1"/>
  <c r="Q35" i="18" s="1"/>
  <c r="L34" i="18"/>
  <c r="N34" i="18" s="1"/>
  <c r="Q34" i="18" s="1"/>
  <c r="L33" i="18"/>
  <c r="N33" i="18" s="1"/>
  <c r="Q33" i="18" s="1"/>
  <c r="L32" i="18"/>
  <c r="L31" i="18"/>
  <c r="N31" i="18" s="1"/>
  <c r="Q31" i="18" s="1"/>
  <c r="L30" i="18"/>
  <c r="K42" i="18"/>
  <c r="K39" i="18"/>
  <c r="K38" i="18"/>
  <c r="Q37" i="18"/>
  <c r="P37" i="18"/>
  <c r="O37" i="18"/>
  <c r="N37" i="18"/>
  <c r="M37" i="18"/>
  <c r="M36" i="18"/>
  <c r="P36" i="18" s="1"/>
  <c r="P35" i="18"/>
  <c r="M35" i="18"/>
  <c r="M34" i="18"/>
  <c r="P34" i="18" s="1"/>
  <c r="P33" i="18"/>
  <c r="M33" i="18"/>
  <c r="M32" i="18"/>
  <c r="P32" i="18" s="1"/>
  <c r="N32" i="18"/>
  <c r="Q32" i="18" s="1"/>
  <c r="P31" i="18"/>
  <c r="M31" i="18"/>
  <c r="M30" i="18"/>
  <c r="P30" i="18" s="1"/>
  <c r="C36" i="18"/>
  <c r="E36" i="18" s="1"/>
  <c r="H36" i="18" s="1"/>
  <c r="C35" i="18"/>
  <c r="E35" i="18" s="1"/>
  <c r="C34" i="18"/>
  <c r="E34" i="18" s="1"/>
  <c r="H34" i="18" s="1"/>
  <c r="C33" i="18"/>
  <c r="E33" i="18" s="1"/>
  <c r="C32" i="18"/>
  <c r="E32" i="18" s="1"/>
  <c r="H32" i="18" s="1"/>
  <c r="C31" i="18"/>
  <c r="E31" i="18" s="1"/>
  <c r="E37" i="18"/>
  <c r="C30" i="18"/>
  <c r="B42" i="18"/>
  <c r="B39" i="18"/>
  <c r="B38" i="18"/>
  <c r="D37" i="18"/>
  <c r="G37" i="18" s="1"/>
  <c r="D36" i="18"/>
  <c r="G36" i="18" s="1"/>
  <c r="G35" i="18"/>
  <c r="D35" i="18"/>
  <c r="D34" i="18"/>
  <c r="G34" i="18" s="1"/>
  <c r="G33" i="18"/>
  <c r="D33" i="18"/>
  <c r="D32" i="18"/>
  <c r="G32" i="18" s="1"/>
  <c r="G31" i="18"/>
  <c r="D31" i="18"/>
  <c r="D30" i="18"/>
  <c r="G30" i="18" s="1"/>
  <c r="L9" i="18"/>
  <c r="L10" i="18"/>
  <c r="L11" i="18"/>
  <c r="L12" i="18"/>
  <c r="L13" i="18"/>
  <c r="L14" i="18"/>
  <c r="N14" i="18" s="1"/>
  <c r="Q14" i="18" s="1"/>
  <c r="L15" i="18"/>
  <c r="N15" i="18" s="1"/>
  <c r="L8" i="18"/>
  <c r="K25" i="18" s="1"/>
  <c r="K20" i="18"/>
  <c r="K17" i="18"/>
  <c r="K16" i="18"/>
  <c r="P15" i="18"/>
  <c r="M15" i="18"/>
  <c r="M14" i="18"/>
  <c r="P14" i="18" s="1"/>
  <c r="P13" i="18"/>
  <c r="M13" i="18"/>
  <c r="N13" i="18"/>
  <c r="M12" i="18"/>
  <c r="P12" i="18" s="1"/>
  <c r="N12" i="18"/>
  <c r="Q12" i="18" s="1"/>
  <c r="P11" i="18"/>
  <c r="M11" i="18"/>
  <c r="N11" i="18"/>
  <c r="M10" i="18"/>
  <c r="P10" i="18" s="1"/>
  <c r="N10" i="18"/>
  <c r="Q10" i="18" s="1"/>
  <c r="P9" i="18"/>
  <c r="M9" i="18"/>
  <c r="N9" i="18"/>
  <c r="M8" i="18"/>
  <c r="P8" i="18" s="1"/>
  <c r="B20" i="18"/>
  <c r="B17" i="18"/>
  <c r="B16" i="18"/>
  <c r="D13" i="18" s="1"/>
  <c r="C10" i="18"/>
  <c r="C11" i="18"/>
  <c r="C12" i="18"/>
  <c r="C13" i="18"/>
  <c r="C14" i="18"/>
  <c r="C15" i="18"/>
  <c r="C9" i="18"/>
  <c r="C8" i="18"/>
  <c r="B25" i="18" s="1"/>
  <c r="BG72" i="25" l="1"/>
  <c r="K47" i="18"/>
  <c r="O31" i="18"/>
  <c r="O33" i="18"/>
  <c r="L38" i="18"/>
  <c r="N30" i="18"/>
  <c r="Q30" i="18" s="1"/>
  <c r="L39" i="18"/>
  <c r="O32" i="18"/>
  <c r="O34" i="18"/>
  <c r="O36" i="18"/>
  <c r="K43" i="18"/>
  <c r="O35" i="18"/>
  <c r="K41" i="18"/>
  <c r="K45" i="18" s="1"/>
  <c r="B47" i="18"/>
  <c r="H35" i="18"/>
  <c r="F35" i="18"/>
  <c r="F31" i="18"/>
  <c r="H31" i="18"/>
  <c r="F37" i="18"/>
  <c r="H37" i="18"/>
  <c r="H33" i="18"/>
  <c r="F33" i="18"/>
  <c r="C38" i="18"/>
  <c r="E30" i="18"/>
  <c r="H30" i="18" s="1"/>
  <c r="F30" i="18"/>
  <c r="F32" i="18"/>
  <c r="F34" i="18"/>
  <c r="F36" i="18"/>
  <c r="C39" i="18"/>
  <c r="B41" i="18"/>
  <c r="B43" i="18"/>
  <c r="Q13" i="18"/>
  <c r="O13" i="18"/>
  <c r="Q9" i="18"/>
  <c r="O9" i="18"/>
  <c r="Q15" i="18"/>
  <c r="O15" i="18"/>
  <c r="Q11" i="18"/>
  <c r="O11" i="18"/>
  <c r="L16" i="18"/>
  <c r="N8" i="18"/>
  <c r="Q8" i="18" s="1"/>
  <c r="O8" i="18"/>
  <c r="O10" i="18"/>
  <c r="O12" i="18"/>
  <c r="O14" i="18"/>
  <c r="L17" i="18"/>
  <c r="K19" i="18"/>
  <c r="K21" i="18"/>
  <c r="B21" i="18"/>
  <c r="D12" i="18"/>
  <c r="D10" i="18"/>
  <c r="D9" i="18"/>
  <c r="G9" i="18" s="1"/>
  <c r="B19" i="18"/>
  <c r="B23" i="18" s="1"/>
  <c r="D11" i="18"/>
  <c r="G11" i="18" s="1"/>
  <c r="G13" i="18"/>
  <c r="G12" i="18"/>
  <c r="G10" i="18"/>
  <c r="C16" i="18"/>
  <c r="E11" i="18" s="1"/>
  <c r="C17" i="18"/>
  <c r="D8" i="18"/>
  <c r="D15" i="18"/>
  <c r="D14" i="18"/>
  <c r="H10" i="19"/>
  <c r="Q35" i="19" s="1"/>
  <c r="G10" i="19"/>
  <c r="P35" i="19" s="1"/>
  <c r="F10" i="19"/>
  <c r="F22" i="19" s="1"/>
  <c r="E10" i="19"/>
  <c r="N35" i="19" s="1"/>
  <c r="D10" i="19"/>
  <c r="M35" i="19" s="1"/>
  <c r="C10" i="19"/>
  <c r="C22" i="19" s="1"/>
  <c r="B10" i="19"/>
  <c r="K35" i="19" s="1"/>
  <c r="H9" i="19"/>
  <c r="H21" i="19" s="1"/>
  <c r="G9" i="19"/>
  <c r="P34" i="19" s="1"/>
  <c r="F9" i="19"/>
  <c r="O34" i="19" s="1"/>
  <c r="E9" i="19"/>
  <c r="N34" i="19" s="1"/>
  <c r="D9" i="19"/>
  <c r="M34" i="19" s="1"/>
  <c r="C9" i="19"/>
  <c r="L34" i="19" s="1"/>
  <c r="B9" i="19"/>
  <c r="K34" i="19" s="1"/>
  <c r="H8" i="19"/>
  <c r="H20" i="19" s="1"/>
  <c r="G8" i="19"/>
  <c r="G20" i="19" s="1"/>
  <c r="F8" i="19"/>
  <c r="F20" i="19" s="1"/>
  <c r="E8" i="19"/>
  <c r="N33" i="19" s="1"/>
  <c r="D8" i="19"/>
  <c r="M33" i="19" s="1"/>
  <c r="C8" i="19"/>
  <c r="L33" i="19" s="1"/>
  <c r="B8" i="19"/>
  <c r="K33" i="19" s="1"/>
  <c r="H7" i="19"/>
  <c r="Q32" i="19" s="1"/>
  <c r="G7" i="19"/>
  <c r="P32" i="19" s="1"/>
  <c r="F7" i="19"/>
  <c r="O32" i="19" s="1"/>
  <c r="E7" i="19"/>
  <c r="N32" i="19" s="1"/>
  <c r="D7" i="19"/>
  <c r="M32" i="19" s="1"/>
  <c r="C7" i="19"/>
  <c r="C19" i="19" s="1"/>
  <c r="B7" i="19"/>
  <c r="K32" i="19" s="1"/>
  <c r="H6" i="19"/>
  <c r="H18" i="19" s="1"/>
  <c r="G6" i="19"/>
  <c r="G18" i="19" s="1"/>
  <c r="F6" i="19"/>
  <c r="F18" i="19" s="1"/>
  <c r="E6" i="19"/>
  <c r="E18" i="19" s="1"/>
  <c r="D6" i="19"/>
  <c r="D18" i="19" s="1"/>
  <c r="C6" i="19"/>
  <c r="C18" i="19" s="1"/>
  <c r="B6" i="19"/>
  <c r="K31" i="19" s="1"/>
  <c r="H5" i="19"/>
  <c r="Q30" i="19" s="1"/>
  <c r="G5" i="19"/>
  <c r="P30" i="19" s="1"/>
  <c r="F5" i="19"/>
  <c r="O30" i="19" s="1"/>
  <c r="E5" i="19"/>
  <c r="E17" i="19" s="1"/>
  <c r="D5" i="19"/>
  <c r="M30" i="19" s="1"/>
  <c r="C5" i="19"/>
  <c r="C17" i="19" s="1"/>
  <c r="B5" i="19"/>
  <c r="B17" i="19" s="1"/>
  <c r="H4" i="19"/>
  <c r="Q29" i="19" s="1"/>
  <c r="G4" i="19"/>
  <c r="P29" i="19" s="1"/>
  <c r="F4" i="19"/>
  <c r="O29" i="19" s="1"/>
  <c r="E4" i="19"/>
  <c r="N29" i="19" s="1"/>
  <c r="D4" i="19"/>
  <c r="M29" i="19" s="1"/>
  <c r="C4" i="19"/>
  <c r="L29" i="19" s="1"/>
  <c r="B4" i="19"/>
  <c r="K29" i="19" s="1"/>
  <c r="H3" i="19"/>
  <c r="Q28" i="19" s="1"/>
  <c r="G3" i="19"/>
  <c r="G15" i="19" s="1"/>
  <c r="F3" i="19"/>
  <c r="O28" i="19" s="1"/>
  <c r="E3" i="19"/>
  <c r="E15" i="19" s="1"/>
  <c r="D3" i="19"/>
  <c r="D15" i="19" s="1"/>
  <c r="C3" i="19"/>
  <c r="C15" i="19" s="1"/>
  <c r="B3" i="19"/>
  <c r="K28" i="19" s="1"/>
  <c r="O30" i="18" l="1"/>
  <c r="B45" i="18"/>
  <c r="K23" i="18"/>
  <c r="H11" i="18"/>
  <c r="F11" i="18"/>
  <c r="G15" i="18"/>
  <c r="E13" i="18"/>
  <c r="E14" i="18"/>
  <c r="H14" i="18" s="1"/>
  <c r="E8" i="18"/>
  <c r="H8" i="18" s="1"/>
  <c r="E15" i="18"/>
  <c r="H15" i="18" s="1"/>
  <c r="E9" i="18"/>
  <c r="E10" i="18"/>
  <c r="G14" i="18"/>
  <c r="F14" i="18"/>
  <c r="G8" i="18"/>
  <c r="E12" i="18"/>
  <c r="C16" i="19"/>
  <c r="D19" i="19"/>
  <c r="E19" i="19"/>
  <c r="D21" i="19"/>
  <c r="B22" i="19"/>
  <c r="F21" i="19"/>
  <c r="F16" i="19"/>
  <c r="H16" i="19"/>
  <c r="L28" i="19"/>
  <c r="L31" i="19"/>
  <c r="M31" i="19"/>
  <c r="F19" i="19"/>
  <c r="N31" i="19"/>
  <c r="G16" i="19"/>
  <c r="G19" i="19"/>
  <c r="H19" i="19"/>
  <c r="B20" i="19"/>
  <c r="E16" i="19"/>
  <c r="G21" i="19"/>
  <c r="O31" i="19"/>
  <c r="D20" i="19"/>
  <c r="F17" i="19"/>
  <c r="G22" i="19"/>
  <c r="G17" i="19"/>
  <c r="H22" i="19"/>
  <c r="B15" i="19"/>
  <c r="H17" i="19"/>
  <c r="C20" i="19"/>
  <c r="B18" i="19"/>
  <c r="H15" i="19"/>
  <c r="B21" i="19"/>
  <c r="B16" i="19"/>
  <c r="C21" i="19"/>
  <c r="Q34" i="19"/>
  <c r="D16" i="19"/>
  <c r="E21" i="19"/>
  <c r="M28" i="19"/>
  <c r="K30" i="19"/>
  <c r="P31" i="19"/>
  <c r="L35" i="19"/>
  <c r="L30" i="19"/>
  <c r="O33" i="19"/>
  <c r="P33" i="19"/>
  <c r="N30" i="19"/>
  <c r="L32" i="19"/>
  <c r="Q33" i="19"/>
  <c r="E20" i="19"/>
  <c r="D22" i="19"/>
  <c r="F15" i="19"/>
  <c r="D17" i="19"/>
  <c r="B19" i="19"/>
  <c r="E22" i="19"/>
  <c r="N28" i="19"/>
  <c r="Q31" i="19"/>
  <c r="P28" i="19"/>
  <c r="O35" i="19"/>
  <c r="H9" i="18" l="1"/>
  <c r="F9" i="18"/>
  <c r="H13" i="18"/>
  <c r="F13" i="18"/>
  <c r="H10" i="18"/>
  <c r="F10" i="18"/>
  <c r="F15" i="18"/>
  <c r="H12" i="18"/>
  <c r="F12" i="18"/>
  <c r="F8" i="18"/>
  <c r="L13" i="5"/>
  <c r="L12" i="5"/>
  <c r="N21" i="9"/>
  <c r="N20" i="9"/>
  <c r="N19" i="9"/>
  <c r="K34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" i="9"/>
  <c r="F21" i="9"/>
  <c r="F20" i="9"/>
  <c r="F19" i="9"/>
  <c r="C34" i="9"/>
  <c r="C23" i="9"/>
  <c r="C20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1" i="9"/>
  <c r="C22" i="9"/>
  <c r="C24" i="9"/>
  <c r="C25" i="9"/>
  <c r="C26" i="9"/>
  <c r="C27" i="9"/>
  <c r="C28" i="9"/>
  <c r="C29" i="9"/>
  <c r="C30" i="9"/>
  <c r="C31" i="9"/>
  <c r="C32" i="9"/>
  <c r="C3" i="9"/>
  <c r="F54" i="6" l="1"/>
  <c r="N54" i="6"/>
  <c r="F55" i="6"/>
  <c r="N55" i="6"/>
  <c r="F56" i="6"/>
  <c r="N56" i="6"/>
  <c r="F57" i="6"/>
  <c r="N57" i="6"/>
  <c r="F58" i="6"/>
  <c r="N58" i="6"/>
  <c r="F59" i="6"/>
  <c r="N59" i="6"/>
  <c r="F60" i="6"/>
  <c r="N60" i="6"/>
  <c r="F61" i="6"/>
  <c r="N61" i="6"/>
  <c r="F62" i="6"/>
  <c r="N62" i="6"/>
  <c r="F63" i="6"/>
  <c r="N63" i="6"/>
  <c r="F64" i="6"/>
  <c r="N64" i="6"/>
  <c r="F65" i="6"/>
  <c r="N65" i="6"/>
  <c r="F66" i="6"/>
  <c r="N66" i="6"/>
  <c r="F67" i="6"/>
  <c r="N67" i="6"/>
  <c r="F68" i="6"/>
  <c r="N68" i="6"/>
  <c r="F69" i="6"/>
  <c r="N69" i="6"/>
  <c r="F70" i="6"/>
  <c r="N70" i="6"/>
  <c r="F71" i="6"/>
  <c r="N71" i="6"/>
  <c r="F72" i="6"/>
  <c r="N72" i="6"/>
  <c r="F73" i="6"/>
  <c r="N73" i="6"/>
  <c r="F74" i="6"/>
  <c r="N74" i="6"/>
  <c r="F79" i="6"/>
  <c r="N79" i="6"/>
  <c r="F80" i="6"/>
  <c r="N80" i="6"/>
  <c r="F81" i="6"/>
  <c r="N81" i="6"/>
  <c r="F82" i="6"/>
  <c r="N82" i="6"/>
  <c r="F83" i="6"/>
  <c r="N83" i="6"/>
  <c r="F84" i="6"/>
  <c r="N84" i="6"/>
  <c r="F85" i="6"/>
  <c r="N85" i="6"/>
  <c r="F86" i="6"/>
  <c r="N86" i="6"/>
  <c r="F87" i="6"/>
  <c r="N87" i="6"/>
  <c r="F88" i="6"/>
  <c r="N88" i="6"/>
  <c r="F89" i="6"/>
  <c r="N89" i="6"/>
  <c r="F90" i="6"/>
  <c r="N90" i="6"/>
  <c r="F91" i="6"/>
  <c r="N91" i="6"/>
  <c r="F92" i="6"/>
  <c r="N92" i="6"/>
  <c r="F93" i="6"/>
  <c r="N93" i="6"/>
  <c r="F94" i="6"/>
  <c r="N94" i="6"/>
  <c r="F95" i="6"/>
  <c r="N95" i="6"/>
  <c r="F96" i="6"/>
  <c r="N96" i="6"/>
  <c r="F97" i="6"/>
  <c r="N97" i="6"/>
  <c r="F98" i="6"/>
  <c r="N98" i="6"/>
  <c r="F99" i="6"/>
  <c r="N99" i="6"/>
  <c r="M49" i="7"/>
  <c r="F49" i="7"/>
  <c r="M48" i="7"/>
  <c r="F48" i="7"/>
  <c r="M47" i="7"/>
  <c r="F47" i="7"/>
  <c r="M46" i="7"/>
  <c r="F46" i="7"/>
  <c r="M45" i="7"/>
  <c r="F45" i="7"/>
  <c r="M44" i="7"/>
  <c r="F44" i="7"/>
  <c r="M43" i="7"/>
  <c r="F43" i="7"/>
  <c r="M42" i="7"/>
  <c r="F42" i="7"/>
  <c r="M41" i="7"/>
  <c r="F41" i="7"/>
  <c r="M40" i="7"/>
  <c r="F40" i="7"/>
  <c r="M39" i="7"/>
  <c r="F39" i="7"/>
  <c r="M38" i="7"/>
  <c r="F38" i="7"/>
  <c r="M37" i="7"/>
  <c r="F37" i="7"/>
  <c r="M36" i="7"/>
  <c r="F36" i="7"/>
  <c r="M35" i="7"/>
  <c r="F35" i="7"/>
  <c r="M34" i="7"/>
  <c r="F34" i="7"/>
  <c r="M33" i="7"/>
  <c r="F33" i="7"/>
  <c r="M32" i="7"/>
  <c r="F32" i="7"/>
  <c r="M31" i="7"/>
  <c r="F31" i="7"/>
  <c r="M30" i="7"/>
  <c r="F30" i="7"/>
  <c r="M29" i="7"/>
  <c r="F29" i="7"/>
  <c r="M24" i="7"/>
  <c r="F24" i="7"/>
  <c r="M23" i="7"/>
  <c r="F23" i="7"/>
  <c r="M22" i="7"/>
  <c r="F22" i="7"/>
  <c r="M21" i="7"/>
  <c r="F21" i="7"/>
  <c r="M20" i="7"/>
  <c r="F20" i="7"/>
  <c r="M19" i="7"/>
  <c r="F19" i="7"/>
  <c r="M18" i="7"/>
  <c r="F18" i="7"/>
  <c r="M17" i="7"/>
  <c r="F17" i="7"/>
  <c r="M16" i="7"/>
  <c r="F16" i="7"/>
  <c r="M15" i="7"/>
  <c r="F15" i="7"/>
  <c r="M14" i="7"/>
  <c r="F14" i="7"/>
  <c r="M13" i="7"/>
  <c r="F13" i="7"/>
  <c r="M12" i="7"/>
  <c r="F12" i="7"/>
  <c r="M11" i="7"/>
  <c r="F11" i="7"/>
  <c r="M10" i="7"/>
  <c r="F10" i="7"/>
  <c r="M9" i="7"/>
  <c r="F9" i="7"/>
  <c r="M8" i="7"/>
  <c r="F8" i="7"/>
  <c r="M7" i="7"/>
  <c r="F7" i="7"/>
  <c r="M6" i="7"/>
  <c r="F6" i="7"/>
  <c r="M5" i="7"/>
  <c r="F5" i="7"/>
  <c r="M4" i="7"/>
  <c r="F4" i="7"/>
  <c r="F96" i="7"/>
  <c r="F95" i="7"/>
  <c r="F94" i="7"/>
  <c r="M93" i="7"/>
  <c r="F93" i="7"/>
  <c r="M92" i="7"/>
  <c r="F92" i="7"/>
  <c r="M91" i="7"/>
  <c r="F91" i="7"/>
  <c r="F90" i="7"/>
  <c r="F89" i="7"/>
  <c r="F88" i="7"/>
  <c r="M87" i="7"/>
  <c r="F87" i="7"/>
  <c r="M86" i="7"/>
  <c r="F86" i="7"/>
  <c r="M85" i="7"/>
  <c r="F85" i="7"/>
  <c r="F84" i="7"/>
  <c r="F83" i="7"/>
  <c r="M82" i="7"/>
  <c r="F82" i="7"/>
  <c r="F80" i="7"/>
  <c r="F79" i="7"/>
  <c r="F74" i="7"/>
  <c r="F73" i="7"/>
  <c r="F72" i="7"/>
  <c r="M71" i="7"/>
  <c r="F71" i="7"/>
  <c r="M70" i="7"/>
  <c r="F70" i="7"/>
  <c r="M69" i="7"/>
  <c r="F69" i="7"/>
  <c r="M68" i="7"/>
  <c r="F68" i="7"/>
  <c r="M67" i="7"/>
  <c r="F67" i="7"/>
  <c r="M66" i="7"/>
  <c r="F66" i="7"/>
  <c r="M65" i="7"/>
  <c r="F65" i="7"/>
  <c r="M64" i="7"/>
  <c r="F64" i="7"/>
  <c r="M63" i="7"/>
  <c r="F63" i="7"/>
  <c r="M62" i="7"/>
  <c r="F62" i="7"/>
  <c r="M61" i="7"/>
  <c r="F61" i="7"/>
  <c r="M60" i="7"/>
  <c r="F60" i="7"/>
  <c r="M59" i="7"/>
  <c r="F59" i="7"/>
  <c r="M58" i="7"/>
  <c r="F58" i="7"/>
  <c r="M57" i="7"/>
  <c r="F57" i="7"/>
  <c r="M56" i="7"/>
  <c r="F56" i="7"/>
  <c r="M55" i="7"/>
  <c r="F55" i="7"/>
  <c r="M54" i="7"/>
  <c r="F54" i="7"/>
  <c r="I7" i="5"/>
  <c r="H7" i="5"/>
  <c r="G7" i="5"/>
  <c r="F7" i="5"/>
  <c r="E7" i="5"/>
  <c r="D7" i="5"/>
  <c r="C7" i="5"/>
  <c r="I6" i="5"/>
  <c r="H6" i="5"/>
  <c r="G6" i="5"/>
  <c r="F6" i="5"/>
  <c r="E6" i="5"/>
  <c r="D6" i="5"/>
  <c r="C6" i="5"/>
  <c r="I5" i="5"/>
  <c r="H5" i="5"/>
  <c r="G5" i="5"/>
  <c r="F5" i="5"/>
  <c r="E5" i="5"/>
  <c r="D5" i="5"/>
  <c r="C5" i="5"/>
  <c r="I4" i="5"/>
  <c r="H4" i="5"/>
  <c r="G4" i="5"/>
  <c r="F4" i="5"/>
  <c r="E4" i="5"/>
  <c r="D4" i="5"/>
  <c r="C4" i="5"/>
  <c r="C8" i="5"/>
  <c r="C11" i="5" l="1"/>
  <c r="D9" i="5"/>
  <c r="H10" i="5"/>
  <c r="E8" i="5"/>
  <c r="I10" i="5"/>
  <c r="D10" i="5"/>
  <c r="I8" i="5"/>
  <c r="C10" i="5"/>
  <c r="D8" i="5"/>
  <c r="G10" i="5"/>
  <c r="F8" i="5"/>
  <c r="C9" i="5"/>
  <c r="E9" i="5"/>
  <c r="G9" i="5"/>
  <c r="I9" i="5"/>
  <c r="E10" i="5"/>
  <c r="H8" i="5"/>
  <c r="F10" i="5"/>
  <c r="G8" i="5"/>
  <c r="D11" i="5"/>
  <c r="F11" i="5"/>
  <c r="F9" i="5"/>
  <c r="G11" i="5"/>
  <c r="I11" i="5"/>
  <c r="H9" i="5"/>
  <c r="H11" i="5"/>
  <c r="E11" i="5"/>
  <c r="C13" i="5" l="1"/>
  <c r="C1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tc={31E037BE-A43D-8743-B37B-6BF09220C867}</author>
    <author>tc={34EEC943-35CC-B040-AED5-41D570F2A4C6}</author>
    <author>tc={6AC37344-078D-6245-B33A-A49745958948}</author>
    <author>tc={3BEAFA8A-AEEE-DE45-829C-141EBEEEDFAA}</author>
    <author>tc={4B6FA484-C40E-224E-A81C-83C0A73E8CD1}</author>
    <author>tc={3D312559-FE11-694C-81CA-AD14D4439918}</author>
    <author>tc={ED0FE72A-12B5-D946-9BD9-48478EEEF6B2}</author>
    <author>tc={FAF0E5AD-45C5-4A4D-896B-58CEF0FECC34}</author>
    <author>tc={DD3AEC4F-F2F0-FD4C-8C70-795F50C59421}</author>
    <author>tc={B5F55D86-3BD1-9F4C-B9F6-7EABA8DCBC8A}</author>
    <author>tc={2E9B0904-CFA7-664A-B752-BE2A149E467A}</author>
    <author>tc={2AE6D47D-E11C-0A49-96BE-04CF320B999F}</author>
    <author>tc={4D6900CC-83AF-824D-BA92-1AAC34C8E062}</author>
    <author>tc={E263E481-A908-D444-A8F2-8615ED7E4631}</author>
    <author>tc={1D9BE7B4-430A-FD4D-9B92-5A4F8BB2CD54}</author>
  </authors>
  <commentList>
    <comment ref="N63" authorId="0" shapeId="0" xr:uid="{31E037BE-A43D-8743-B37B-6BF09220C867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N64" authorId="1" shapeId="0" xr:uid="{34EEC943-35CC-B040-AED5-41D570F2A4C6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N65" authorId="2" shapeId="0" xr:uid="{6AC37344-078D-6245-B33A-A49745958948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N68" authorId="3" shapeId="0" xr:uid="{3BEAFA8A-AEEE-DE45-829C-141EBEEEDFAA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  <comment ref="N71" authorId="4" shapeId="0" xr:uid="{4B6FA484-C40E-224E-A81C-83C0A73E8CD1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F72" authorId="5" shapeId="0" xr:uid="{3D312559-FE11-694C-81CA-AD14D4439918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F73" authorId="6" shapeId="0" xr:uid="{ED0FE72A-12B5-D946-9BD9-48478EEEF6B2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N73" authorId="7" shapeId="0" xr:uid="{FAF0E5AD-45C5-4A4D-896B-58CEF0FECC34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F74" authorId="8" shapeId="0" xr:uid="{DD3AEC4F-F2F0-FD4C-8C70-795F50C59421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N74" authorId="9" shapeId="0" xr:uid="{B5F55D86-3BD1-9F4C-B9F6-7EABA8DCBC8A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 carat</t>
      </text>
    </comment>
    <comment ref="F87" authorId="10" shapeId="0" xr:uid="{2E9B0904-CFA7-664A-B752-BE2A149E467A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  <comment ref="F96" authorId="11" shapeId="0" xr:uid="{2AE6D47D-E11C-0A49-96BE-04CF320B999F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  <comment ref="F97" authorId="12" shapeId="0" xr:uid="{4D6900CC-83AF-824D-BA92-1AAC34C8E062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  <comment ref="F98" authorId="13" shapeId="0" xr:uid="{E263E481-A908-D444-A8F2-8615ED7E4631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  <comment ref="F99" authorId="14" shapeId="0" xr:uid="{1D9BE7B4-430A-FD4D-9B92-5A4F8BB2CD54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rarecarat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6C7B98-CBFA-4969-92E8-433CE9A8983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9997333-5949-42D9-BB72-ACC832DC937A}" name="WorksheetConnection_Natural Diamond Data!$I$78:$N$99" type="102" refreshedVersion="8" minRefreshableVersion="5">
    <extLst>
      <ext xmlns:x15="http://schemas.microsoft.com/office/spreadsheetml/2010/11/main" uri="{DE250136-89BD-433C-8126-D09CA5730AF9}">
        <x15:connection id="Range 7" autoDelete="1">
          <x15:rangePr sourceName="_xlcn.WorksheetConnection_NaturalDiamondDataI78N99"/>
        </x15:connection>
      </ext>
    </extLst>
  </connection>
</connections>
</file>

<file path=xl/sharedStrings.xml><?xml version="1.0" encoding="utf-8"?>
<sst xmlns="http://schemas.openxmlformats.org/spreadsheetml/2006/main" count="1566" uniqueCount="128">
  <si>
    <t>Group B-6 Pears</t>
  </si>
  <si>
    <t>1.00-1.49 Carat. H color, Ideal cut (pears, natural diamond, Brilliant earth, 4/15)</t>
  </si>
  <si>
    <t>1.00-1.49 Carat. I color, Ideal cut (pears, natural diamond, Brilliant earth, 4/15)</t>
  </si>
  <si>
    <t>Price ($)</t>
  </si>
  <si>
    <t>Carat</t>
  </si>
  <si>
    <t>Cut</t>
  </si>
  <si>
    <t>Color</t>
  </si>
  <si>
    <t>Clarity</t>
  </si>
  <si>
    <t>Price/Ct</t>
  </si>
  <si>
    <t>Ideal</t>
  </si>
  <si>
    <t>H</t>
  </si>
  <si>
    <t>SI2</t>
  </si>
  <si>
    <t>I</t>
  </si>
  <si>
    <t>SI1</t>
  </si>
  <si>
    <t>VS2</t>
  </si>
  <si>
    <t>VS1</t>
  </si>
  <si>
    <t>VVS2</t>
  </si>
  <si>
    <t>VVS1</t>
  </si>
  <si>
    <t>IF</t>
  </si>
  <si>
    <t>1.00-1.49 Carat. J color, Ideal cut (pears, natural diamond, Brilliant earth, 4/15)</t>
  </si>
  <si>
    <r>
      <t xml:space="preserve">1.00-1.49 Carat. K color, Ideal cut (pears, natural diamond, </t>
    </r>
    <r>
      <rPr>
        <sz val="11"/>
        <color rgb="FFFF0000"/>
        <rFont val="Calibri (Body)"/>
      </rPr>
      <t>Rare carat</t>
    </r>
    <r>
      <rPr>
        <sz val="11"/>
        <color theme="1"/>
        <rFont val="Calibri"/>
        <family val="2"/>
        <scheme val="minor"/>
      </rPr>
      <t>, 4/15)</t>
    </r>
  </si>
  <si>
    <t>J</t>
  </si>
  <si>
    <t>K</t>
  </si>
  <si>
    <r>
      <t>1.00-1.49 Carat. D color, Ideal cut (pears, natural diamond,</t>
    </r>
    <r>
      <rPr>
        <sz val="11"/>
        <color rgb="FFFF0000"/>
        <rFont val="Calibri"/>
        <family val="2"/>
      </rPr>
      <t xml:space="preserve"> Bluenile</t>
    </r>
    <r>
      <rPr>
        <sz val="11"/>
        <color rgb="FF000000"/>
        <rFont val="Calibri"/>
        <family val="2"/>
      </rPr>
      <t>, 4/15)</t>
    </r>
  </si>
  <si>
    <r>
      <t>1.00-1.49 Carat. E color, Ideal cut (pears, natural diamond,</t>
    </r>
    <r>
      <rPr>
        <sz val="11"/>
        <color rgb="FFFF0000"/>
        <rFont val="Calibri"/>
        <family val="2"/>
      </rPr>
      <t xml:space="preserve"> Bluenile</t>
    </r>
    <r>
      <rPr>
        <sz val="11"/>
        <color rgb="FF000000"/>
        <rFont val="Calibri"/>
        <family val="2"/>
      </rPr>
      <t>, 4/15)</t>
    </r>
  </si>
  <si>
    <t>D</t>
  </si>
  <si>
    <t>E</t>
  </si>
  <si>
    <r>
      <t>1.00-1.49 Carat. F color, Ideal cut (pears, natural diamond,</t>
    </r>
    <r>
      <rPr>
        <sz val="11"/>
        <color rgb="FFFF0000"/>
        <rFont val="Calibri"/>
        <family val="2"/>
      </rPr>
      <t xml:space="preserve"> Bluenile</t>
    </r>
    <r>
      <rPr>
        <sz val="11"/>
        <color rgb="FF000000"/>
        <rFont val="Calibri"/>
        <family val="2"/>
      </rPr>
      <t>, 4/15)</t>
    </r>
  </si>
  <si>
    <r>
      <t>1.00-1.49 Carat. G color, Ideal cut (pears, natural diamond,</t>
    </r>
    <r>
      <rPr>
        <sz val="11"/>
        <color rgb="FFFF0000"/>
        <rFont val="Calibri"/>
        <family val="2"/>
      </rPr>
      <t xml:space="preserve"> Bluenile</t>
    </r>
    <r>
      <rPr>
        <sz val="11"/>
        <color rgb="FF000000"/>
        <rFont val="Calibri"/>
        <family val="2"/>
      </rPr>
      <t>, 4/15)</t>
    </r>
  </si>
  <si>
    <t>F</t>
  </si>
  <si>
    <t>G</t>
  </si>
  <si>
    <t>Table 1 Pear ideal cut Natural diamond price</t>
  </si>
  <si>
    <t>Pear</t>
  </si>
  <si>
    <t>1.00-1.49 Carat. H color, Ideal cut (pears, lab grown diamond, Rarecarat, 4/15)</t>
  </si>
  <si>
    <t>1.00-1.49 Carat. I color, Ideal cut (pears, natural diamond, Brilliant Earth, 4/15)</t>
  </si>
  <si>
    <t>1.00-1.49 Carat. F color, Ideal cut (pears, natural diamond, Multiple sources, 4/15)</t>
  </si>
  <si>
    <t>1.00-1.49 Carat. G color, Ideal cut (pears, natural diamond, Multiple sources, 4/15)</t>
  </si>
  <si>
    <t>rarecarat</t>
  </si>
  <si>
    <t>adiamor</t>
  </si>
  <si>
    <t>brilliance</t>
  </si>
  <si>
    <t>brilliant earth</t>
  </si>
  <si>
    <t>1.00-1.49 Carat. D color, Ideal cut (pears, lab diamond, rare carat, 4/15)</t>
  </si>
  <si>
    <t>1.00-1.49 Carat. E color, Ideal cut (pears, lab diamond, rare carat, 4/15)</t>
  </si>
  <si>
    <t>1.00</t>
  </si>
  <si>
    <t>rare carat</t>
  </si>
  <si>
    <t>1.09</t>
  </si>
  <si>
    <t>1.01</t>
  </si>
  <si>
    <t>1.08</t>
  </si>
  <si>
    <t>1.07</t>
  </si>
  <si>
    <t>1.05</t>
  </si>
  <si>
    <t>1.03</t>
  </si>
  <si>
    <t>1.43</t>
  </si>
  <si>
    <t>1.17</t>
  </si>
  <si>
    <t>1.10</t>
  </si>
  <si>
    <t>1.22</t>
  </si>
  <si>
    <t>1.19</t>
  </si>
  <si>
    <t>1.06</t>
  </si>
  <si>
    <t>1.12</t>
  </si>
  <si>
    <t>1.20</t>
  </si>
  <si>
    <t>1.39</t>
  </si>
  <si>
    <t>1.04</t>
  </si>
  <si>
    <t>1.16</t>
  </si>
  <si>
    <t>brilliantearth</t>
  </si>
  <si>
    <t>1.00-1.49 Carat. F color, Ideal cut (pears, lab diamond, rare carat, 4/15)</t>
  </si>
  <si>
    <t>1.00-1.49 Carat. G color, Ideal cut (pears, lab diamond, rare carat, 4/15)</t>
  </si>
  <si>
    <t>1.13</t>
  </si>
  <si>
    <t>1.02</t>
  </si>
  <si>
    <t>1.15</t>
  </si>
  <si>
    <t>1.42</t>
  </si>
  <si>
    <t>1.14</t>
  </si>
  <si>
    <t>Table 2 Pear ideal cut Lab-grown diamond price</t>
  </si>
  <si>
    <t>loosegrowndiamond</t>
  </si>
  <si>
    <t>javda</t>
  </si>
  <si>
    <t>rock her</t>
  </si>
  <si>
    <t>Standard Error</t>
  </si>
  <si>
    <t>Price</t>
  </si>
  <si>
    <t>Weight</t>
  </si>
  <si>
    <t>Mean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</si>
  <si>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</si>
  <si>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</si>
  <si>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</si>
  <si>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</si>
  <si>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</si>
  <si>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</si>
  <si>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</si>
  <si>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</si>
  <si>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</si>
  <si>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</si>
  <si>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</si>
  <si>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Confidence Level(95.0%)</t>
  </si>
  <si>
    <t>Sample Mean</t>
  </si>
  <si>
    <t>Lower limit</t>
  </si>
  <si>
    <t>Upper limit</t>
  </si>
  <si>
    <t>1.00 - 1.49 Carat. D Color, VVS1, Ideal Cut (Lab-grown, Pear, Rare Carat, 4/19)</t>
  </si>
  <si>
    <t>1.00 - 1.49 Carat. D Color, VVS1, Ideal Cut (Natural, Pear, Rare Carat, 4/19)</t>
  </si>
  <si>
    <t>(a) Price/ct(y)vs.color(X1).</t>
  </si>
  <si>
    <t xml:space="preserve">(b) Price/ct (y) vs. clarity (X2). </t>
  </si>
  <si>
    <t>Calculate the covariance (Sxy) of (measure of association between two variables)</t>
  </si>
  <si>
    <t>(a) Price/ct (y) vs. color (X1).</t>
  </si>
  <si>
    <t>(b) Price/ct (y) vs. clarity (X2)</t>
  </si>
  <si>
    <t>Maximum value</t>
  </si>
  <si>
    <t>Minimum value</t>
  </si>
  <si>
    <t>Rapaport Report (Pear, Ideal, 1.00-1.49ct, 3/17/2023)</t>
  </si>
  <si>
    <t>Heat map for Lab-Grown Diamond vs Natural Diamond Prices with Percentage</t>
  </si>
  <si>
    <t>Summarized Data Tables</t>
  </si>
  <si>
    <r>
      <t xml:space="preserve">Develop the </t>
    </r>
    <r>
      <rPr>
        <sz val="11"/>
        <color theme="1"/>
        <rFont val="Lato,Bold"/>
      </rPr>
      <t xml:space="preserve">line/scatter charts </t>
    </r>
    <r>
      <rPr>
        <sz val="11"/>
        <color theme="1"/>
        <rFont val="Lato"/>
        <family val="2"/>
      </rPr>
      <t xml:space="preserve">of </t>
    </r>
  </si>
  <si>
    <t>Y</t>
  </si>
  <si>
    <t>xi - xbar</t>
  </si>
  <si>
    <t>yi - ybar</t>
  </si>
  <si>
    <t>(xi - xbar)(yi - ybar)</t>
  </si>
  <si>
    <t>(xi - xbar)^2</t>
  </si>
  <si>
    <t>(yi - ybar)^2</t>
  </si>
  <si>
    <t>Std Dev</t>
  </si>
  <si>
    <t xml:space="preserve">sxy = </t>
  </si>
  <si>
    <t xml:space="preserve">Sample Covariance </t>
  </si>
  <si>
    <t xml:space="preserve">sx = </t>
  </si>
  <si>
    <t>Sample Standard deviation of x</t>
  </si>
  <si>
    <t xml:space="preserve">sy = </t>
  </si>
  <si>
    <t>Sample Standard deviation of y</t>
  </si>
  <si>
    <t xml:space="preserve">rxy = </t>
  </si>
  <si>
    <t>Sample correlation coefficient</t>
  </si>
  <si>
    <t>CORREL:</t>
  </si>
  <si>
    <t>Natural Diamond</t>
  </si>
  <si>
    <t>X1</t>
  </si>
  <si>
    <t>Lab-Grown Diamond</t>
  </si>
  <si>
    <t>X2</t>
  </si>
  <si>
    <t>Sample mean</t>
  </si>
  <si>
    <t>Heat map for Nature diamond vs. Rapaport diamond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</si>
</sst>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(* #,##0_);_(* \(#,##0\);_(* &quot;-&quot;??_);_(@_)"/>
    <numFmt numFmtId="166" formatCode="0.0000"/>
    <numFmt numFmtId="167" formatCode="#,##0.0000"/>
  </numFmts>
  <fonts count="3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 (Body)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Avenir Next LT Pro"/>
      <family val="2"/>
    </font>
    <font>
      <b/>
      <sz val="11"/>
      <color theme="1"/>
      <name val="Biome"/>
      <family val="2"/>
    </font>
    <font>
      <sz val="11"/>
      <color theme="1"/>
      <name val="Lato,Bold"/>
    </font>
    <font>
      <sz val="14"/>
      <color theme="1"/>
      <name val="Arial"/>
      <family val="2"/>
    </font>
    <font>
      <sz val="14"/>
      <color rgb="FF000000"/>
      <name val="Arial"/>
      <family val="2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Lato"/>
      <family val="2"/>
    </font>
    <font>
      <b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i/>
      <sz val="12"/>
      <color theme="1"/>
      <name val="Times New Roman"/>
      <family val="1"/>
    </font>
    <font>
      <sz val="1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Avenir Next LT Pro"/>
      <family val="2"/>
    </font>
    <font>
      <sz val="14"/>
      <color theme="1"/>
      <name val="Biome"/>
      <family val="2"/>
    </font>
    <font>
      <sz val="14"/>
      <color theme="0"/>
      <name val="Biome"/>
      <family val="2"/>
    </font>
    <font>
      <b/>
      <sz val="14"/>
      <color theme="0"/>
      <name val="Biome"/>
      <family val="2"/>
    </font>
    <font>
      <sz val="14"/>
      <color theme="1"/>
      <name val="Avenir Next LT Pro"/>
      <family val="2"/>
    </font>
    <font>
      <sz val="14"/>
      <color theme="0"/>
      <name val="Avenir Next LT Pro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2417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64FBA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44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43" fontId="7" fillId="0" borderId="0" applyFon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horizontal="center"/>
    </xf>
    <xf numFmtId="3" fontId="6" fillId="0" borderId="0" xfId="0" applyNumberFormat="1" applyFont="1" applyAlignment="1">
      <alignment horizontal="center"/>
    </xf>
    <xf numFmtId="3" fontId="6" fillId="5" borderId="0" xfId="0" applyNumberFormat="1" applyFont="1" applyFill="1" applyAlignment="1">
      <alignment horizontal="center"/>
    </xf>
    <xf numFmtId="4" fontId="6" fillId="0" borderId="0" xfId="0" applyNumberFormat="1" applyFont="1" applyAlignment="1">
      <alignment horizontal="center"/>
    </xf>
    <xf numFmtId="4" fontId="6" fillId="5" borderId="0" xfId="0" applyNumberFormat="1" applyFont="1" applyFill="1" applyAlignment="1">
      <alignment horizontal="center"/>
    </xf>
    <xf numFmtId="2" fontId="3" fillId="0" borderId="0" xfId="0" applyNumberFormat="1" applyFont="1" applyAlignment="1">
      <alignment horizontal="center"/>
    </xf>
    <xf numFmtId="0" fontId="1" fillId="0" borderId="0" xfId="0" applyFont="1"/>
    <xf numFmtId="0" fontId="1" fillId="0" borderId="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4" fontId="0" fillId="0" borderId="0" xfId="0" applyNumberFormat="1"/>
    <xf numFmtId="4" fontId="0" fillId="0" borderId="10" xfId="0" applyNumberFormat="1" applyBorder="1"/>
    <xf numFmtId="4" fontId="0" fillId="0" borderId="12" xfId="0" applyNumberFormat="1" applyBorder="1"/>
    <xf numFmtId="4" fontId="0" fillId="0" borderId="13" xfId="0" applyNumberFormat="1" applyBorder="1"/>
    <xf numFmtId="0" fontId="1" fillId="0" borderId="0" xfId="0" applyFont="1" applyAlignment="1">
      <alignment wrapText="1"/>
    </xf>
    <xf numFmtId="0" fontId="8" fillId="0" borderId="0" xfId="2" applyFill="1" applyAlignment="1">
      <alignment wrapText="1"/>
    </xf>
    <xf numFmtId="44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44" fontId="0" fillId="5" borderId="0" xfId="1" applyFont="1" applyFill="1" applyAlignment="1">
      <alignment horizontal="center"/>
    </xf>
    <xf numFmtId="2" fontId="6" fillId="5" borderId="0" xfId="0" applyNumberFormat="1" applyFont="1" applyFill="1" applyAlignment="1">
      <alignment horizontal="center"/>
    </xf>
    <xf numFmtId="3" fontId="0" fillId="5" borderId="0" xfId="0" applyNumberFormat="1" applyFill="1" applyAlignment="1">
      <alignment horizontal="center"/>
    </xf>
    <xf numFmtId="3" fontId="0" fillId="0" borderId="0" xfId="0" applyNumberFormat="1" applyAlignment="1">
      <alignment horizontal="center"/>
    </xf>
    <xf numFmtId="4" fontId="0" fillId="5" borderId="0" xfId="1" applyNumberFormat="1" applyFont="1" applyFill="1" applyAlignment="1">
      <alignment horizontal="center"/>
    </xf>
    <xf numFmtId="4" fontId="0" fillId="0" borderId="0" xfId="1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9" fillId="0" borderId="15" xfId="0" applyFont="1" applyBorder="1" applyAlignment="1">
      <alignment horizontal="centerContinuous"/>
    </xf>
    <xf numFmtId="3" fontId="0" fillId="0" borderId="0" xfId="0" applyNumberFormat="1"/>
    <xf numFmtId="4" fontId="1" fillId="0" borderId="0" xfId="0" applyNumberFormat="1" applyFont="1" applyAlignment="1">
      <alignment horizontal="right"/>
    </xf>
    <xf numFmtId="0" fontId="9" fillId="0" borderId="0" xfId="0" applyFont="1" applyAlignment="1">
      <alignment horizontal="center"/>
    </xf>
    <xf numFmtId="4" fontId="0" fillId="3" borderId="0" xfId="0" applyNumberFormat="1" applyFill="1"/>
    <xf numFmtId="0" fontId="0" fillId="3" borderId="12" xfId="0" applyFill="1" applyBorder="1"/>
    <xf numFmtId="0" fontId="0" fillId="3" borderId="0" xfId="0" applyFill="1"/>
    <xf numFmtId="43" fontId="0" fillId="3" borderId="0" xfId="3" applyFont="1" applyFill="1"/>
    <xf numFmtId="3" fontId="1" fillId="0" borderId="12" xfId="0" applyNumberFormat="1" applyFont="1" applyBorder="1" applyAlignment="1">
      <alignment horizontal="right"/>
    </xf>
    <xf numFmtId="4" fontId="1" fillId="0" borderId="12" xfId="0" applyNumberFormat="1" applyFont="1" applyBorder="1" applyAlignment="1">
      <alignment horizontal="right"/>
    </xf>
    <xf numFmtId="0" fontId="10" fillId="6" borderId="0" xfId="0" applyFont="1" applyFill="1"/>
    <xf numFmtId="0" fontId="10" fillId="6" borderId="0" xfId="0" applyFont="1" applyFill="1" applyAlignment="1">
      <alignment horizontal="center"/>
    </xf>
    <xf numFmtId="4" fontId="10" fillId="6" borderId="0" xfId="0" applyNumberFormat="1" applyFont="1" applyFill="1"/>
    <xf numFmtId="0" fontId="11" fillId="6" borderId="0" xfId="0" applyFont="1" applyFill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4" fontId="15" fillId="0" borderId="0" xfId="0" applyNumberFormat="1" applyFont="1"/>
    <xf numFmtId="4" fontId="15" fillId="0" borderId="12" xfId="0" applyNumberFormat="1" applyFont="1" applyBorder="1"/>
    <xf numFmtId="4" fontId="15" fillId="0" borderId="6" xfId="0" applyNumberFormat="1" applyFont="1" applyBorder="1"/>
    <xf numFmtId="0" fontId="17" fillId="0" borderId="6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4" fontId="15" fillId="0" borderId="16" xfId="0" applyNumberFormat="1" applyFont="1" applyBorder="1"/>
    <xf numFmtId="0" fontId="17" fillId="0" borderId="16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4" fontId="19" fillId="0" borderId="0" xfId="0" applyNumberFormat="1" applyFont="1"/>
    <xf numFmtId="0" fontId="18" fillId="0" borderId="16" xfId="0" applyFont="1" applyBorder="1" applyAlignment="1">
      <alignment horizontal="center"/>
    </xf>
    <xf numFmtId="4" fontId="19" fillId="0" borderId="16" xfId="0" applyNumberFormat="1" applyFont="1" applyBorder="1"/>
    <xf numFmtId="0" fontId="18" fillId="0" borderId="0" xfId="0" applyFont="1" applyAlignment="1">
      <alignment horizontal="center"/>
    </xf>
    <xf numFmtId="10" fontId="0" fillId="0" borderId="0" xfId="0" applyNumberFormat="1"/>
    <xf numFmtId="10" fontId="0" fillId="0" borderId="10" xfId="0" applyNumberFormat="1" applyBorder="1"/>
    <xf numFmtId="10" fontId="0" fillId="0" borderId="12" xfId="0" applyNumberFormat="1" applyBorder="1"/>
    <xf numFmtId="10" fontId="0" fillId="0" borderId="13" xfId="0" applyNumberFormat="1" applyBorder="1"/>
    <xf numFmtId="3" fontId="0" fillId="0" borderId="10" xfId="0" applyNumberFormat="1" applyBorder="1"/>
    <xf numFmtId="3" fontId="0" fillId="0" borderId="12" xfId="0" applyNumberFormat="1" applyBorder="1"/>
    <xf numFmtId="3" fontId="0" fillId="0" borderId="13" xfId="0" applyNumberFormat="1" applyBorder="1"/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1" fillId="0" borderId="0" xfId="0" applyFont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0" fillId="3" borderId="5" xfId="0" applyFill="1" applyBorder="1"/>
    <xf numFmtId="166" fontId="0" fillId="3" borderId="5" xfId="0" applyNumberFormat="1" applyFill="1" applyBorder="1" applyAlignment="1">
      <alignment horizontal="center"/>
    </xf>
    <xf numFmtId="0" fontId="0" fillId="3" borderId="26" xfId="0" applyFill="1" applyBorder="1"/>
    <xf numFmtId="166" fontId="0" fillId="3" borderId="24" xfId="0" applyNumberFormat="1" applyFill="1" applyBorder="1" applyAlignment="1">
      <alignment horizontal="center"/>
    </xf>
    <xf numFmtId="0" fontId="0" fillId="9" borderId="10" xfId="0" applyFill="1" applyBorder="1" applyAlignment="1">
      <alignment vertical="center"/>
    </xf>
    <xf numFmtId="0" fontId="24" fillId="3" borderId="26" xfId="0" applyFont="1" applyFill="1" applyBorder="1" applyAlignment="1">
      <alignment horizontal="right"/>
    </xf>
    <xf numFmtId="0" fontId="0" fillId="9" borderId="26" xfId="0" applyFill="1" applyBorder="1" applyAlignment="1">
      <alignment horizontal="center"/>
    </xf>
    <xf numFmtId="0" fontId="23" fillId="3" borderId="26" xfId="0" applyFont="1" applyFill="1" applyBorder="1" applyAlignment="1">
      <alignment horizontal="right"/>
    </xf>
    <xf numFmtId="0" fontId="0" fillId="9" borderId="26" xfId="0" applyFill="1" applyBorder="1" applyAlignment="1">
      <alignment horizontal="left"/>
    </xf>
    <xf numFmtId="0" fontId="0" fillId="3" borderId="26" xfId="0" applyFill="1" applyBorder="1" applyAlignment="1">
      <alignment horizontal="right"/>
    </xf>
    <xf numFmtId="0" fontId="22" fillId="3" borderId="24" xfId="0" applyFont="1" applyFill="1" applyBorder="1" applyAlignment="1">
      <alignment horizontal="right"/>
    </xf>
    <xf numFmtId="0" fontId="0" fillId="9" borderId="24" xfId="0" applyFill="1" applyBorder="1" applyAlignment="1">
      <alignment horizontal="center"/>
    </xf>
    <xf numFmtId="0" fontId="0" fillId="9" borderId="13" xfId="0" applyFill="1" applyBorder="1" applyAlignment="1">
      <alignment vertical="center"/>
    </xf>
    <xf numFmtId="0" fontId="22" fillId="0" borderId="22" xfId="0" applyFon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4" fontId="0" fillId="0" borderId="10" xfId="3" applyNumberFormat="1" applyFont="1" applyBorder="1" applyAlignment="1">
      <alignment horizontal="center"/>
    </xf>
    <xf numFmtId="4" fontId="0" fillId="0" borderId="23" xfId="3" applyNumberFormat="1" applyFont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24" xfId="0" applyNumberFormat="1" applyFill="1" applyBorder="1" applyAlignment="1">
      <alignment horizontal="center"/>
    </xf>
    <xf numFmtId="0" fontId="0" fillId="9" borderId="25" xfId="0" applyFill="1" applyBorder="1" applyAlignment="1">
      <alignment vertical="center"/>
    </xf>
    <xf numFmtId="167" fontId="0" fillId="3" borderId="0" xfId="0" applyNumberFormat="1" applyFill="1" applyAlignment="1">
      <alignment horizontal="center" vertical="center"/>
    </xf>
    <xf numFmtId="167" fontId="0" fillId="3" borderId="10" xfId="0" applyNumberFormat="1" applyFill="1" applyBorder="1" applyAlignment="1">
      <alignment horizontal="center" vertical="center"/>
    </xf>
    <xf numFmtId="167" fontId="0" fillId="3" borderId="26" xfId="0" applyNumberFormat="1" applyFill="1" applyBorder="1" applyAlignment="1">
      <alignment horizontal="center" vertical="center"/>
    </xf>
    <xf numFmtId="167" fontId="0" fillId="3" borderId="24" xfId="0" applyNumberFormat="1" applyFill="1" applyBorder="1" applyAlignment="1">
      <alignment horizontal="center" vertical="center"/>
    </xf>
    <xf numFmtId="167" fontId="0" fillId="3" borderId="12" xfId="0" applyNumberFormat="1" applyFill="1" applyBorder="1" applyAlignment="1">
      <alignment horizontal="center" vertical="center"/>
    </xf>
    <xf numFmtId="167" fontId="0" fillId="3" borderId="13" xfId="0" applyNumberFormat="1" applyFill="1" applyBorder="1" applyAlignment="1">
      <alignment horizontal="center" vertical="center"/>
    </xf>
    <xf numFmtId="0" fontId="0" fillId="9" borderId="10" xfId="0" applyFill="1" applyBorder="1" applyAlignment="1">
      <alignment horizontal="left" vertical="center"/>
    </xf>
    <xf numFmtId="0" fontId="0" fillId="9" borderId="26" xfId="0" applyFill="1" applyBorder="1"/>
    <xf numFmtId="0" fontId="0" fillId="9" borderId="10" xfId="0" applyFill="1" applyBorder="1"/>
    <xf numFmtId="167" fontId="0" fillId="3" borderId="25" xfId="0" applyNumberFormat="1" applyFill="1" applyBorder="1" applyAlignment="1">
      <alignment horizontal="center"/>
    </xf>
    <xf numFmtId="167" fontId="0" fillId="3" borderId="23" xfId="0" applyNumberFormat="1" applyFill="1" applyBorder="1" applyAlignment="1">
      <alignment horizontal="center"/>
    </xf>
    <xf numFmtId="0" fontId="26" fillId="0" borderId="15" xfId="0" applyFont="1" applyBorder="1" applyAlignment="1">
      <alignment horizontal="centerContinuous"/>
    </xf>
    <xf numFmtId="0" fontId="27" fillId="6" borderId="0" xfId="0" applyFont="1" applyFill="1"/>
    <xf numFmtId="0" fontId="28" fillId="6" borderId="0" xfId="0" applyFont="1" applyFill="1" applyAlignment="1">
      <alignment horizontal="right"/>
    </xf>
    <xf numFmtId="0" fontId="28" fillId="6" borderId="0" xfId="0" applyFont="1" applyFill="1"/>
    <xf numFmtId="164" fontId="29" fillId="6" borderId="0" xfId="0" applyNumberFormat="1" applyFont="1" applyFill="1" applyAlignment="1">
      <alignment horizontal="center"/>
    </xf>
    <xf numFmtId="0" fontId="29" fillId="6" borderId="0" xfId="0" applyFont="1" applyFill="1" applyAlignment="1">
      <alignment horizontal="right"/>
    </xf>
    <xf numFmtId="0" fontId="30" fillId="6" borderId="0" xfId="0" applyFont="1" applyFill="1" applyAlignment="1">
      <alignment horizontal="center"/>
    </xf>
    <xf numFmtId="0" fontId="30" fillId="6" borderId="0" xfId="0" applyFont="1" applyFill="1" applyAlignment="1">
      <alignment horizontal="right"/>
    </xf>
    <xf numFmtId="43" fontId="29" fillId="6" borderId="0" xfId="3" applyFont="1" applyFill="1"/>
    <xf numFmtId="165" fontId="29" fillId="6" borderId="0" xfId="3" applyNumberFormat="1" applyFont="1" applyFill="1"/>
    <xf numFmtId="0" fontId="31" fillId="6" borderId="0" xfId="0" applyFont="1" applyFill="1" applyAlignment="1">
      <alignment horizontal="right"/>
    </xf>
    <xf numFmtId="0" fontId="31" fillId="6" borderId="0" xfId="0" applyFont="1" applyFill="1"/>
    <xf numFmtId="0" fontId="32" fillId="6" borderId="0" xfId="0" applyFont="1" applyFill="1" applyAlignment="1">
      <alignment horizontal="center"/>
    </xf>
    <xf numFmtId="43" fontId="29" fillId="6" borderId="0" xfId="3" applyFont="1" applyFill="1" applyAlignment="1">
      <alignment horizontal="center"/>
    </xf>
    <xf numFmtId="0" fontId="29" fillId="6" borderId="0" xfId="0" applyFont="1" applyFill="1" applyAlignment="1">
      <alignment horizontal="center"/>
    </xf>
    <xf numFmtId="0" fontId="27" fillId="6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43" fontId="30" fillId="6" borderId="0" xfId="3" applyFont="1" applyFill="1" applyAlignment="1">
      <alignment horizontal="center"/>
    </xf>
    <xf numFmtId="0" fontId="29" fillId="6" borderId="0" xfId="0" applyFont="1" applyFill="1"/>
    <xf numFmtId="4" fontId="27" fillId="6" borderId="0" xfId="0" applyNumberFormat="1" applyFont="1" applyFill="1"/>
    <xf numFmtId="43" fontId="0" fillId="0" borderId="0" xfId="3" applyFont="1"/>
    <xf numFmtId="43" fontId="0" fillId="0" borderId="10" xfId="3" applyFont="1" applyBorder="1"/>
    <xf numFmtId="43" fontId="0" fillId="0" borderId="12" xfId="3" applyFont="1" applyBorder="1"/>
    <xf numFmtId="43" fontId="0" fillId="0" borderId="13" xfId="3" applyFont="1" applyBorder="1"/>
    <xf numFmtId="43" fontId="0" fillId="7" borderId="0" xfId="3" applyFont="1" applyFill="1"/>
    <xf numFmtId="43" fontId="0" fillId="7" borderId="10" xfId="3" applyFont="1" applyFill="1" applyBorder="1"/>
    <xf numFmtId="43" fontId="0" fillId="7" borderId="12" xfId="3" applyFont="1" applyFill="1" applyBorder="1"/>
    <xf numFmtId="0" fontId="3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16" fillId="0" borderId="20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 wrapText="1"/>
    </xf>
    <xf numFmtId="0" fontId="22" fillId="0" borderId="20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3" xfId="0" applyFont="1" applyBorder="1" applyAlignment="1">
      <alignment horizontal="center" vertical="center" wrapText="1"/>
    </xf>
    <xf numFmtId="0" fontId="23" fillId="3" borderId="5" xfId="0" applyFont="1" applyFill="1" applyBorder="1" applyAlignment="1">
      <alignment horizontal="center" vertical="center"/>
    </xf>
    <xf numFmtId="0" fontId="23" fillId="3" borderId="24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0" fontId="23" fillId="3" borderId="12" xfId="0" applyFont="1" applyFill="1" applyBorder="1" applyAlignment="1">
      <alignment horizontal="center" vertical="center"/>
    </xf>
    <xf numFmtId="0" fontId="23" fillId="3" borderId="7" xfId="0" applyFont="1" applyFill="1" applyBorder="1" applyAlignment="1">
      <alignment horizontal="center" vertical="center"/>
    </xf>
    <xf numFmtId="0" fontId="23" fillId="3" borderId="13" xfId="0" applyFont="1" applyFill="1" applyBorder="1" applyAlignment="1">
      <alignment horizontal="center" vertical="center"/>
    </xf>
    <xf numFmtId="3" fontId="0" fillId="2" borderId="0" xfId="0" applyNumberFormat="1" applyFill="1" applyAlignment="1">
      <alignment horizontal="center"/>
    </xf>
    <xf numFmtId="0" fontId="29" fillId="8" borderId="0" xfId="0" applyFont="1" applyFill="1" applyAlignment="1">
      <alignment horizontal="center" wrapText="1"/>
    </xf>
    <xf numFmtId="0" fontId="29" fillId="8" borderId="0" xfId="0" applyFont="1" applyFill="1" applyAlignment="1">
      <alignment horizontal="center"/>
    </xf>
    <xf numFmtId="0" fontId="29" fillId="6" borderId="0" xfId="0" applyFont="1" applyFill="1" applyAlignment="1">
      <alignment horizontal="left" vertical="center"/>
    </xf>
  </cellXfs>
  <cellStyles count="4">
    <cellStyle name="Comma" xfId="3" builtinId="3"/>
    <cellStyle name="Currency" xfId="1" builtinId="4"/>
    <cellStyle name="Hyperlink" xfId="2" builtinId="8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967B1"/>
      <color rgb="FF42417F"/>
      <color rgb="FF4E3D8B"/>
      <color rgb="FF6966E0"/>
      <color rgb="FF064FBA"/>
      <color rgb="FFFF66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  <a:r>
              <a:rPr lang="en-US" baseline="0"/>
              <a:t>/ct vs color Natural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Charts'!$B$12:$B$19</c:f>
              <c:numCache>
                <c:formatCode>_(* #,##0.00_);_(* \(#,##0.00\);_(* "-"??_);_(@_)</c:formatCode>
                <c:ptCount val="8"/>
                <c:pt idx="0">
                  <c:v>7254.44</c:v>
                </c:pt>
                <c:pt idx="1">
                  <c:v>6343.5166666666664</c:v>
                </c:pt>
                <c:pt idx="2">
                  <c:v>7200.0566666666664</c:v>
                </c:pt>
                <c:pt idx="3">
                  <c:v>6468.5466666666662</c:v>
                </c:pt>
                <c:pt idx="4">
                  <c:v>5243.3877170325732</c:v>
                </c:pt>
                <c:pt idx="5">
                  <c:v>5168.8362192383629</c:v>
                </c:pt>
                <c:pt idx="6">
                  <c:v>3373.1154063121644</c:v>
                </c:pt>
                <c:pt idx="7">
                  <c:v>2626.7843137254899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4-44C5-BFA9-F531E86FE12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Charts'!$C$12:$C$19</c:f>
              <c:numCache>
                <c:formatCode>_(* #,##0.00_);_(* \(#,##0.00\);_(* "-"??_);_(@_)</c:formatCode>
                <c:ptCount val="8"/>
                <c:pt idx="0">
                  <c:v>6356.6766666666663</c:v>
                </c:pt>
                <c:pt idx="1">
                  <c:v>6461.833333333333</c:v>
                </c:pt>
                <c:pt idx="2">
                  <c:v>6074.9199999999992</c:v>
                </c:pt>
                <c:pt idx="3">
                  <c:v>4832.376666666667</c:v>
                </c:pt>
                <c:pt idx="4">
                  <c:v>7043.0059523809532</c:v>
                </c:pt>
                <c:pt idx="5">
                  <c:v>5003.7926743494018</c:v>
                </c:pt>
                <c:pt idx="6">
                  <c:v>3164.0264026402638</c:v>
                </c:pt>
                <c:pt idx="7">
                  <c:v>2456.5165016501651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44-44C5-BFA9-F531E86FE12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Charts'!$D$12:$D$19</c:f>
              <c:numCache>
                <c:formatCode>_(* #,##0.00_);_(* \(#,##0.00\);_(* "-"??_);_(@_)</c:formatCode>
                <c:ptCount val="8"/>
                <c:pt idx="0">
                  <c:v>6162.4199999999992</c:v>
                </c:pt>
                <c:pt idx="1">
                  <c:v>5893.07</c:v>
                </c:pt>
                <c:pt idx="2">
                  <c:v>6003.0366666666669</c:v>
                </c:pt>
                <c:pt idx="3">
                  <c:v>4882.9800000000005</c:v>
                </c:pt>
                <c:pt idx="4">
                  <c:v>6305.0039391611499</c:v>
                </c:pt>
                <c:pt idx="5">
                  <c:v>4141.3841972432538</c:v>
                </c:pt>
                <c:pt idx="6">
                  <c:v>3789.339933993399</c:v>
                </c:pt>
                <c:pt idx="7">
                  <c:v>2112.9198213939039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44-44C5-BFA9-F531E86FE12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Charts'!$E$12:$E$19</c:f>
              <c:numCache>
                <c:formatCode>_(* #,##0.00_);_(* \(#,##0.00\);_(* "-"??_);_(@_)</c:formatCode>
                <c:ptCount val="8"/>
                <c:pt idx="0">
                  <c:v>5252.2433333333329</c:v>
                </c:pt>
                <c:pt idx="1">
                  <c:v>4596.82</c:v>
                </c:pt>
                <c:pt idx="2">
                  <c:v>4881.5166666666673</c:v>
                </c:pt>
                <c:pt idx="3">
                  <c:v>4765.1366666666663</c:v>
                </c:pt>
                <c:pt idx="4">
                  <c:v>5802.9922992299225</c:v>
                </c:pt>
                <c:pt idx="5">
                  <c:v>3183.7689768976902</c:v>
                </c:pt>
                <c:pt idx="6">
                  <c:v>3040.5940594059407</c:v>
                </c:pt>
                <c:pt idx="7">
                  <c:v>1866.8118811881188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44-44C5-BFA9-F531E86FE12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Charts'!$F$12:$F$19</c:f>
              <c:numCache>
                <c:formatCode>_(* #,##0.00_);_(* \(#,##0.00\);_(* "-"??_);_(@_)</c:formatCode>
                <c:ptCount val="8"/>
                <c:pt idx="0">
                  <c:v>6514.7966666666662</c:v>
                </c:pt>
                <c:pt idx="1">
                  <c:v>5013.086666666667</c:v>
                </c:pt>
                <c:pt idx="2">
                  <c:v>4740.7766666666666</c:v>
                </c:pt>
                <c:pt idx="3">
                  <c:v>4459.4066666666668</c:v>
                </c:pt>
                <c:pt idx="4">
                  <c:v>5226.3696369636964</c:v>
                </c:pt>
                <c:pt idx="5">
                  <c:v>4358.5907859078588</c:v>
                </c:pt>
                <c:pt idx="6">
                  <c:v>3275.7269700332963</c:v>
                </c:pt>
                <c:pt idx="7">
                  <c:v>1881.6946260663801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44-44C5-BFA9-F531E86FE12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Charts'!$G$12:$G$19</c:f>
              <c:numCache>
                <c:formatCode>_(* #,##0.00_);_(* \(#,##0.00\);_(* "-"??_);_(@_)</c:formatCode>
                <c:ptCount val="8"/>
                <c:pt idx="0">
                  <c:v>3596.2033333333334</c:v>
                </c:pt>
                <c:pt idx="1">
                  <c:v>2892.126666666667</c:v>
                </c:pt>
                <c:pt idx="2">
                  <c:v>3869.1666666666665</c:v>
                </c:pt>
                <c:pt idx="3">
                  <c:v>3067.47</c:v>
                </c:pt>
                <c:pt idx="4">
                  <c:v>3856.6666666666665</c:v>
                </c:pt>
                <c:pt idx="5">
                  <c:v>3750.6666666666665</c:v>
                </c:pt>
                <c:pt idx="6">
                  <c:v>3276.002717918851</c:v>
                </c:pt>
                <c:pt idx="7">
                  <c:v>1985.8679547566408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44-44C5-BFA9-F531E86FE12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Charts'!$A$12:$A$19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Charts'!$H$12:$H$19</c:f>
              <c:numCache>
                <c:formatCode>_(* #,##0.00_);_(* \(#,##0.00\);_(* "-"??_);_(@_)</c:formatCode>
                <c:ptCount val="8"/>
                <c:pt idx="0">
                  <c:v>2481.9466666666667</c:v>
                </c:pt>
                <c:pt idx="1">
                  <c:v>1746.605</c:v>
                </c:pt>
                <c:pt idx="2">
                  <c:v>1862.87</c:v>
                </c:pt>
                <c:pt idx="3">
                  <c:v>1754.4533333333331</c:v>
                </c:pt>
                <c:pt idx="4">
                  <c:v>3040</c:v>
                </c:pt>
                <c:pt idx="5">
                  <c:v>3306.6666666666665</c:v>
                </c:pt>
                <c:pt idx="6">
                  <c:v>3025.8861340679523</c:v>
                </c:pt>
                <c:pt idx="7">
                  <c:v>1539.6327982312794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44-44C5-BFA9-F531E86FE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607279"/>
        <c:axId val="1950250511"/>
      </c:scatterChart>
      <c:valAx>
        <c:axId val="195160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0250511"/>
        <c:crosses val="autoZero"/>
        <c:crossBetween val="midCat"/>
      </c:valAx>
      <c:valAx>
        <c:axId val="195025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60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Price/ct</a:t>
            </a:r>
            <a:r>
              <a:rPr lang="en-US" baseline="0"/>
              <a:t> vs clarity Natural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Charts'!$B$12:$H$12</c:f>
              <c:numCache>
                <c:formatCode>_(* #,##0.00_);_(* \(#,##0.00\);_(* "-"??_);_(@_)</c:formatCode>
                <c:ptCount val="7"/>
                <c:pt idx="0">
                  <c:v>7254.44</c:v>
                </c:pt>
                <c:pt idx="1">
                  <c:v>6356.6766666666663</c:v>
                </c:pt>
                <c:pt idx="2">
                  <c:v>6162.4199999999992</c:v>
                </c:pt>
                <c:pt idx="3">
                  <c:v>5252.2433333333329</c:v>
                </c:pt>
                <c:pt idx="4">
                  <c:v>6514.7966666666662</c:v>
                </c:pt>
                <c:pt idx="5">
                  <c:v>3596.2033333333334</c:v>
                </c:pt>
                <c:pt idx="6">
                  <c:v>2481.9466666666667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D1-42B1-9E65-EEDD1287828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Charts'!$B$13:$H$13</c:f>
              <c:numCache>
                <c:formatCode>_(* #,##0.00_);_(* \(#,##0.00\);_(* "-"??_);_(@_)</c:formatCode>
                <c:ptCount val="7"/>
                <c:pt idx="0">
                  <c:v>6343.5166666666664</c:v>
                </c:pt>
                <c:pt idx="1">
                  <c:v>6461.833333333333</c:v>
                </c:pt>
                <c:pt idx="2">
                  <c:v>5893.07</c:v>
                </c:pt>
                <c:pt idx="3">
                  <c:v>4596.82</c:v>
                </c:pt>
                <c:pt idx="4">
                  <c:v>5013.086666666667</c:v>
                </c:pt>
                <c:pt idx="5">
                  <c:v>2892.126666666667</c:v>
                </c:pt>
                <c:pt idx="6">
                  <c:v>1746.605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1-42B1-9E65-EEDD1287828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Charts'!$B$14:$H$14</c:f>
              <c:numCache>
                <c:formatCode>_(* #,##0.00_);_(* \(#,##0.00\);_(* "-"??_);_(@_)</c:formatCode>
                <c:ptCount val="7"/>
                <c:pt idx="0">
                  <c:v>7200.0566666666664</c:v>
                </c:pt>
                <c:pt idx="1">
                  <c:v>6074.9199999999992</c:v>
                </c:pt>
                <c:pt idx="2">
                  <c:v>6003.0366666666669</c:v>
                </c:pt>
                <c:pt idx="3">
                  <c:v>4881.5166666666673</c:v>
                </c:pt>
                <c:pt idx="4">
                  <c:v>4740.7766666666666</c:v>
                </c:pt>
                <c:pt idx="5">
                  <c:v>3869.1666666666665</c:v>
                </c:pt>
                <c:pt idx="6">
                  <c:v>1862.87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1-42B1-9E65-EEDD1287828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Charts'!$B$15:$H$15</c:f>
              <c:numCache>
                <c:formatCode>_(* #,##0.00_);_(* \(#,##0.00\);_(* "-"??_);_(@_)</c:formatCode>
                <c:ptCount val="7"/>
                <c:pt idx="0">
                  <c:v>6468.5466666666662</c:v>
                </c:pt>
                <c:pt idx="1">
                  <c:v>4832.376666666667</c:v>
                </c:pt>
                <c:pt idx="2">
                  <c:v>4882.9800000000005</c:v>
                </c:pt>
                <c:pt idx="3">
                  <c:v>4765.1366666666663</c:v>
                </c:pt>
                <c:pt idx="4">
                  <c:v>4459.4066666666668</c:v>
                </c:pt>
                <c:pt idx="5">
                  <c:v>3067.47</c:v>
                </c:pt>
                <c:pt idx="6">
                  <c:v>1754.4533333333331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D1-42B1-9E65-EEDD1287828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Charts'!$B$16:$H$16</c:f>
              <c:numCache>
                <c:formatCode>_(* #,##0.00_);_(* \(#,##0.00\);_(* "-"??_);_(@_)</c:formatCode>
                <c:ptCount val="7"/>
                <c:pt idx="0">
                  <c:v>5243.3877170325732</c:v>
                </c:pt>
                <c:pt idx="1">
                  <c:v>7043.0059523809532</c:v>
                </c:pt>
                <c:pt idx="2">
                  <c:v>6305.0039391611499</c:v>
                </c:pt>
                <c:pt idx="3">
                  <c:v>5802.9922992299225</c:v>
                </c:pt>
                <c:pt idx="4">
                  <c:v>5226.3696369636964</c:v>
                </c:pt>
                <c:pt idx="5">
                  <c:v>3856.6666666666665</c:v>
                </c:pt>
                <c:pt idx="6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D1-42B1-9E65-EEDD1287828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Charts'!$B$17:$H$17</c:f>
              <c:numCache>
                <c:formatCode>_(* #,##0.00_);_(* \(#,##0.00\);_(* "-"??_);_(@_)</c:formatCode>
                <c:ptCount val="7"/>
                <c:pt idx="0">
                  <c:v>5168.8362192383629</c:v>
                </c:pt>
                <c:pt idx="1">
                  <c:v>5003.7926743494018</c:v>
                </c:pt>
                <c:pt idx="2">
                  <c:v>4141.3841972432538</c:v>
                </c:pt>
                <c:pt idx="3">
                  <c:v>3183.7689768976902</c:v>
                </c:pt>
                <c:pt idx="4">
                  <c:v>4358.5907859078588</c:v>
                </c:pt>
                <c:pt idx="5">
                  <c:v>3750.6666666666665</c:v>
                </c:pt>
                <c:pt idx="6">
                  <c:v>3306.6666666666665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D1-42B1-9E65-EEDD1287828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Charts'!$B$18:$H$18</c:f>
              <c:numCache>
                <c:formatCode>_(* #,##0.00_);_(* \(#,##0.00\);_(* "-"??_);_(@_)</c:formatCode>
                <c:ptCount val="7"/>
                <c:pt idx="0">
                  <c:v>3373.1154063121644</c:v>
                </c:pt>
                <c:pt idx="1">
                  <c:v>3164.0264026402638</c:v>
                </c:pt>
                <c:pt idx="2">
                  <c:v>3789.339933993399</c:v>
                </c:pt>
                <c:pt idx="3">
                  <c:v>3040.5940594059407</c:v>
                </c:pt>
                <c:pt idx="4">
                  <c:v>3275.7269700332963</c:v>
                </c:pt>
                <c:pt idx="5">
                  <c:v>3276.002717918851</c:v>
                </c:pt>
                <c:pt idx="6">
                  <c:v>3025.8861340679523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D1-42B1-9E65-EEDD1287828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Charts'!$B$11:$H$11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Charts'!$B$19:$H$19</c:f>
              <c:numCache>
                <c:formatCode>_(* #,##0.00_);_(* \(#,##0.00\);_(* "-"??_);_(@_)</c:formatCode>
                <c:ptCount val="7"/>
                <c:pt idx="0">
                  <c:v>2626.7843137254899</c:v>
                </c:pt>
                <c:pt idx="1">
                  <c:v>2456.5165016501651</c:v>
                </c:pt>
                <c:pt idx="2">
                  <c:v>2112.9198213939039</c:v>
                </c:pt>
                <c:pt idx="3">
                  <c:v>1866.8118811881188</c:v>
                </c:pt>
                <c:pt idx="4">
                  <c:v>1881.6946260663801</c:v>
                </c:pt>
                <c:pt idx="5">
                  <c:v>1985.8679547566408</c:v>
                </c:pt>
                <c:pt idx="6">
                  <c:v>1539.6327982312794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BD1-42B1-9E65-EEDD12878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999951"/>
        <c:axId val="1992812095"/>
      </c:scatterChart>
      <c:valAx>
        <c:axId val="1992999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12095"/>
        <c:crosses val="autoZero"/>
        <c:crossBetween val="midCat"/>
      </c:valAx>
      <c:valAx>
        <c:axId val="1992812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999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price/ct vs color Lab grown</a:t>
            </a:r>
            <a:endParaRPr lang="en-TH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Charts'!$B$24:$B$31</c:f>
              <c:numCache>
                <c:formatCode>_(* #,##0.00_);_(* \(#,##0.00\);_(* "-"??_);_(@_)</c:formatCode>
                <c:ptCount val="8"/>
                <c:pt idx="0">
                  <c:v>3857.4421118094106</c:v>
                </c:pt>
                <c:pt idx="1">
                  <c:v>2566.8877099911583</c:v>
                </c:pt>
                <c:pt idx="2">
                  <c:v>2267</c:v>
                </c:pt>
                <c:pt idx="3">
                  <c:v>2207.8205128205127</c:v>
                </c:pt>
                <c:pt idx="4">
                  <c:v>1258.6666666666667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87-470E-B085-49BCC11752F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Charts'!$C$24:$C$31</c:f>
              <c:numCache>
                <c:formatCode>_(* #,##0.00_);_(* \(#,##0.00\);_(* "-"??_);_(@_)</c:formatCode>
                <c:ptCount val="8"/>
                <c:pt idx="0">
                  <c:v>2416.9266291422227</c:v>
                </c:pt>
                <c:pt idx="1">
                  <c:v>2826.3896594236398</c:v>
                </c:pt>
                <c:pt idx="2">
                  <c:v>2087.9718814972834</c:v>
                </c:pt>
                <c:pt idx="3">
                  <c:v>1581.0824534071896</c:v>
                </c:pt>
                <c:pt idx="4">
                  <c:v>1689.6228938683344</c:v>
                </c:pt>
                <c:pt idx="5">
                  <c:v>1349.5726495726497</c:v>
                </c:pt>
                <c:pt idx="6">
                  <c:v>1030.8072778661015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87-470E-B085-49BCC11752F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Charts'!$D$24:$D$31</c:f>
              <c:numCache>
                <c:formatCode>_(* #,##0.00_);_(* \(#,##0.00\);_(* "-"??_);_(@_)</c:formatCode>
                <c:ptCount val="8"/>
                <c:pt idx="0">
                  <c:v>2246.3818433125366</c:v>
                </c:pt>
                <c:pt idx="1">
                  <c:v>1992.5302845420622</c:v>
                </c:pt>
                <c:pt idx="2">
                  <c:v>1684.2315515955263</c:v>
                </c:pt>
                <c:pt idx="3">
                  <c:v>1697.8568997374307</c:v>
                </c:pt>
                <c:pt idx="4">
                  <c:v>1683.2038469804427</c:v>
                </c:pt>
                <c:pt idx="5">
                  <c:v>1238.9655377362403</c:v>
                </c:pt>
                <c:pt idx="6">
                  <c:v>1379.7805788982259</c:v>
                </c:pt>
                <c:pt idx="7">
                  <c:v>484.0515151515151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87-470E-B085-49BCC11752F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Charts'!$E$24:$E$31</c:f>
              <c:numCache>
                <c:formatCode>_(* #,##0.00_);_(* \(#,##0.00\);_(* "-"??_);_(@_)</c:formatCode>
                <c:ptCount val="8"/>
                <c:pt idx="0">
                  <c:v>1921.6576785883717</c:v>
                </c:pt>
                <c:pt idx="1">
                  <c:v>1520.2368990289021</c:v>
                </c:pt>
                <c:pt idx="2">
                  <c:v>1384.5366284201234</c:v>
                </c:pt>
                <c:pt idx="3">
                  <c:v>1456.8614978621656</c:v>
                </c:pt>
                <c:pt idx="4">
                  <c:v>1460.050107372942</c:v>
                </c:pt>
                <c:pt idx="5">
                  <c:v>1195.5162009707465</c:v>
                </c:pt>
                <c:pt idx="6">
                  <c:v>1228.260412427079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87-470E-B085-49BCC11752F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Charts'!$F$24:$F$31</c:f>
              <c:numCache>
                <c:formatCode>_(* #,##0.00_);_(* \(#,##0.00\);_(* "-"??_);_(@_)</c:formatCode>
                <c:ptCount val="8"/>
                <c:pt idx="0">
                  <c:v>1763.5087257659618</c:v>
                </c:pt>
                <c:pt idx="1">
                  <c:v>1330.2457629540713</c:v>
                </c:pt>
                <c:pt idx="2">
                  <c:v>1272.7008484553241</c:v>
                </c:pt>
                <c:pt idx="3">
                  <c:v>1387.3306822485529</c:v>
                </c:pt>
                <c:pt idx="4">
                  <c:v>1392.9698212970354</c:v>
                </c:pt>
                <c:pt idx="5">
                  <c:v>1076.4013267482408</c:v>
                </c:pt>
                <c:pt idx="6">
                  <c:v>936.9281045751635</c:v>
                </c:pt>
                <c:pt idx="7">
                  <c:v>401.93827160493828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87-470E-B085-49BCC11752F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Charts'!$G$24:$G$31</c:f>
              <c:numCache>
                <c:formatCode>_(* #,##0.00_);_(* \(#,##0.00\);_(* "-"??_);_(@_)</c:formatCode>
                <c:ptCount val="8"/>
                <c:pt idx="0">
                  <c:v>1370.0914873418806</c:v>
                </c:pt>
                <c:pt idx="1">
                  <c:v>1387.2222222222219</c:v>
                </c:pt>
                <c:pt idx="2">
                  <c:v>1052.1232913515698</c:v>
                </c:pt>
                <c:pt idx="3">
                  <c:v>972.67986798679874</c:v>
                </c:pt>
                <c:pt idx="4">
                  <c:v>1090.9638186040827</c:v>
                </c:pt>
                <c:pt idx="5">
                  <c:v>1123.1322272498744</c:v>
                </c:pt>
                <c:pt idx="6">
                  <c:v>889.47194719471952</c:v>
                </c:pt>
                <c:pt idx="7">
                  <c:v>339.60396039603961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87-470E-B085-49BCC11752F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Charts'!$A$24:$A$31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'Q3 Scatter-Line Charts'!$H$24:$H$31</c:f>
              <c:numCache>
                <c:formatCode>_(* #,##0.00_);_(* \(#,##0.00\);_(* "-"??_);_(@_)</c:formatCode>
                <c:ptCount val="8"/>
                <c:pt idx="0">
                  <c:v>1134.8450661579921</c:v>
                </c:pt>
                <c:pt idx="1">
                  <c:v>1525.2222222222219</c:v>
                </c:pt>
                <c:pt idx="2">
                  <c:v>1139.8531029573546</c:v>
                </c:pt>
                <c:pt idx="3">
                  <c:v>1152.1126785244896</c:v>
                </c:pt>
                <c:pt idx="4">
                  <c:v>1038.5595238095236</c:v>
                </c:pt>
                <c:pt idx="5">
                  <c:v>1029.1243831363763</c:v>
                </c:pt>
                <c:pt idx="6">
                  <c:v>888.34951456310682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87-470E-B085-49BCC1175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623599"/>
        <c:axId val="1953801727"/>
      </c:scatterChart>
      <c:valAx>
        <c:axId val="2034623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3801727"/>
        <c:crosses val="autoZero"/>
        <c:crossBetween val="midCat"/>
      </c:valAx>
      <c:valAx>
        <c:axId val="195380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623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Price/ct vs clarity Lab grown</a:t>
            </a:r>
            <a:endParaRPr lang="en-TH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Charts'!$B$24:$H$24</c:f>
              <c:numCache>
                <c:formatCode>_(* #,##0.00_);_(* \(#,##0.00\);_(* "-"??_);_(@_)</c:formatCode>
                <c:ptCount val="7"/>
                <c:pt idx="0">
                  <c:v>3857.4421118094106</c:v>
                </c:pt>
                <c:pt idx="1">
                  <c:v>2416.9266291422227</c:v>
                </c:pt>
                <c:pt idx="2">
                  <c:v>2246.3818433125366</c:v>
                </c:pt>
                <c:pt idx="3">
                  <c:v>1921.6576785883717</c:v>
                </c:pt>
                <c:pt idx="4">
                  <c:v>1763.5087257659618</c:v>
                </c:pt>
                <c:pt idx="5">
                  <c:v>1370.0914873418806</c:v>
                </c:pt>
                <c:pt idx="6">
                  <c:v>1134.8450661579921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4A-4D9B-85FF-23983D5E54B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Charts'!$B$25:$H$25</c:f>
              <c:numCache>
                <c:formatCode>_(* #,##0.00_);_(* \(#,##0.00\);_(* "-"??_);_(@_)</c:formatCode>
                <c:ptCount val="7"/>
                <c:pt idx="0">
                  <c:v>2566.8877099911583</c:v>
                </c:pt>
                <c:pt idx="1">
                  <c:v>2826.3896594236398</c:v>
                </c:pt>
                <c:pt idx="2">
                  <c:v>1992.5302845420622</c:v>
                </c:pt>
                <c:pt idx="3">
                  <c:v>1520.2368990289021</c:v>
                </c:pt>
                <c:pt idx="4">
                  <c:v>1330.2457629540713</c:v>
                </c:pt>
                <c:pt idx="5">
                  <c:v>1387.2222222222219</c:v>
                </c:pt>
                <c:pt idx="6">
                  <c:v>1525.2222222222219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4A-4D9B-85FF-23983D5E54B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Charts'!$B$26:$H$26</c:f>
              <c:numCache>
                <c:formatCode>_(* #,##0.00_);_(* \(#,##0.00\);_(* "-"??_);_(@_)</c:formatCode>
                <c:ptCount val="7"/>
                <c:pt idx="0">
                  <c:v>2267</c:v>
                </c:pt>
                <c:pt idx="1">
                  <c:v>2087.9718814972834</c:v>
                </c:pt>
                <c:pt idx="2">
                  <c:v>1684.2315515955263</c:v>
                </c:pt>
                <c:pt idx="3">
                  <c:v>1384.5366284201234</c:v>
                </c:pt>
                <c:pt idx="4">
                  <c:v>1272.7008484553241</c:v>
                </c:pt>
                <c:pt idx="5">
                  <c:v>1052.1232913515698</c:v>
                </c:pt>
                <c:pt idx="6">
                  <c:v>1139.8531029573546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4A-4D9B-85FF-23983D5E54B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Charts'!$B$27:$H$27</c:f>
              <c:numCache>
                <c:formatCode>_(* #,##0.00_);_(* \(#,##0.00\);_(* "-"??_);_(@_)</c:formatCode>
                <c:ptCount val="7"/>
                <c:pt idx="0">
                  <c:v>2207.8205128205127</c:v>
                </c:pt>
                <c:pt idx="1">
                  <c:v>1581.0824534071896</c:v>
                </c:pt>
                <c:pt idx="2">
                  <c:v>1697.8568997374307</c:v>
                </c:pt>
                <c:pt idx="3">
                  <c:v>1456.8614978621656</c:v>
                </c:pt>
                <c:pt idx="4">
                  <c:v>1387.3306822485529</c:v>
                </c:pt>
                <c:pt idx="5">
                  <c:v>972.67986798679874</c:v>
                </c:pt>
                <c:pt idx="6">
                  <c:v>1152.1126785244896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4A-4D9B-85FF-23983D5E54B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Charts'!$B$28:$H$28</c:f>
              <c:numCache>
                <c:formatCode>_(* #,##0.00_);_(* \(#,##0.00\);_(* "-"??_);_(@_)</c:formatCode>
                <c:ptCount val="7"/>
                <c:pt idx="0">
                  <c:v>1258.6666666666667</c:v>
                </c:pt>
                <c:pt idx="1">
                  <c:v>1689.6228938683344</c:v>
                </c:pt>
                <c:pt idx="2">
                  <c:v>1683.2038469804427</c:v>
                </c:pt>
                <c:pt idx="3">
                  <c:v>1460.050107372942</c:v>
                </c:pt>
                <c:pt idx="4">
                  <c:v>1392.9698212970354</c:v>
                </c:pt>
                <c:pt idx="5">
                  <c:v>1090.9638186040827</c:v>
                </c:pt>
                <c:pt idx="6">
                  <c:v>1038.5595238095236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4A-4D9B-85FF-23983D5E54B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Charts'!$B$29:$H$29</c:f>
              <c:numCache>
                <c:formatCode>_(* #,##0.00_);_(* \(#,##0.00\);_(* "-"??_);_(@_)</c:formatCode>
                <c:ptCount val="7"/>
                <c:pt idx="1">
                  <c:v>1349.5726495726497</c:v>
                </c:pt>
                <c:pt idx="2">
                  <c:v>1238.9655377362403</c:v>
                </c:pt>
                <c:pt idx="3">
                  <c:v>1195.5162009707465</c:v>
                </c:pt>
                <c:pt idx="4">
                  <c:v>1076.4013267482408</c:v>
                </c:pt>
                <c:pt idx="5">
                  <c:v>1123.1322272498744</c:v>
                </c:pt>
                <c:pt idx="6">
                  <c:v>1029.1243831363763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4A-4D9B-85FF-23983D5E54B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Charts'!$B$30:$H$30</c:f>
              <c:numCache>
                <c:formatCode>_(* #,##0.00_);_(* \(#,##0.00\);_(* "-"??_);_(@_)</c:formatCode>
                <c:ptCount val="7"/>
                <c:pt idx="1">
                  <c:v>1030.8072778661015</c:v>
                </c:pt>
                <c:pt idx="2">
                  <c:v>1379.7805788982259</c:v>
                </c:pt>
                <c:pt idx="3">
                  <c:v>1228.260412427079</c:v>
                </c:pt>
                <c:pt idx="4">
                  <c:v>936.9281045751635</c:v>
                </c:pt>
                <c:pt idx="5">
                  <c:v>889.47194719471952</c:v>
                </c:pt>
                <c:pt idx="6">
                  <c:v>888.34951456310682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4A-4D9B-85FF-23983D5E54B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'Q3 Scatter-Line Charts'!$B$23:$H$23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'Q3 Scatter-Line Charts'!$B$31:$H$31</c:f>
              <c:numCache>
                <c:formatCode>_(* #,##0.00_);_(* \(#,##0.00\);_(* "-"??_);_(@_)</c:formatCode>
                <c:ptCount val="7"/>
                <c:pt idx="2">
                  <c:v>484.0515151515151</c:v>
                </c:pt>
                <c:pt idx="4">
                  <c:v>401.93827160493828</c:v>
                </c:pt>
                <c:pt idx="5">
                  <c:v>339.60396039603961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4A-4D9B-85FF-23983D5E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793711"/>
        <c:axId val="2030148063"/>
      </c:scatterChart>
      <c:valAx>
        <c:axId val="203079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148063"/>
        <c:crosses val="autoZero"/>
        <c:crossBetween val="midCat"/>
      </c:valAx>
      <c:valAx>
        <c:axId val="203014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793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latin typeface="+mn-lt"/>
              </a:rPr>
              <a:t>Price/ct</a:t>
            </a:r>
            <a:r>
              <a:rPr lang="en-US" sz="1600" baseline="0">
                <a:latin typeface="+mn-lt"/>
              </a:rPr>
              <a:t> vs color G; Natural Diamond</a:t>
            </a:r>
            <a:endParaRPr lang="en-US" sz="1600">
              <a:latin typeface="+mn-lt"/>
            </a:endParaRPr>
          </a:p>
        </c:rich>
      </c:tx>
      <c:layout>
        <c:manualLayout>
          <c:xMode val="edge"/>
          <c:yMode val="edge"/>
          <c:x val="0.12552527577336681"/>
          <c:y val="4.30724061903241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0758851325057445"/>
                  <c:y val="3.4897450919627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'Q4 Regresstion Equation'!$A$3:$A$10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'Q4 Regresstion Equation'!$F$3:$F$10</c:f>
              <c:numCache>
                <c:formatCode>_(* #,##0.00_);_(* \(#,##0.00\);_(* "-"??_);_(@_)</c:formatCode>
                <c:ptCount val="8"/>
                <c:pt idx="0">
                  <c:v>6514.7966666666662</c:v>
                </c:pt>
                <c:pt idx="1">
                  <c:v>5013.086666666667</c:v>
                </c:pt>
                <c:pt idx="2">
                  <c:v>4740.7766666666666</c:v>
                </c:pt>
                <c:pt idx="3">
                  <c:v>4459.4066666666668</c:v>
                </c:pt>
                <c:pt idx="4">
                  <c:v>5226.3696369636964</c:v>
                </c:pt>
                <c:pt idx="5">
                  <c:v>4358.5907859078588</c:v>
                </c:pt>
                <c:pt idx="6">
                  <c:v>3275.7269700332963</c:v>
                </c:pt>
                <c:pt idx="7">
                  <c:v>1881.6946260663801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8F-46FF-B7D6-01197219B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94384"/>
        <c:axId val="394358160"/>
      </c:scatterChart>
      <c:valAx>
        <c:axId val="28019438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58160"/>
        <c:crosses val="autoZero"/>
        <c:crossBetween val="midCat"/>
      </c:valAx>
      <c:valAx>
        <c:axId val="39435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19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Price/ct vs clarity VS2; Natural Diamondl </a:t>
            </a:r>
          </a:p>
        </c:rich>
      </c:tx>
      <c:layout>
        <c:manualLayout>
          <c:xMode val="edge"/>
          <c:yMode val="edge"/>
          <c:x val="0.11451647407491877"/>
          <c:y val="3.35092107878868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372503140020387"/>
                  <c:y val="5.508907492819943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'Q4 Regresstion Equation'!$B$2:$H$2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'Q4 Regresstion Equation'!$B$6:$H$6</c:f>
              <c:numCache>
                <c:formatCode>_(* #,##0.00_);_(* \(#,##0.00\);_(* "-"??_);_(@_)</c:formatCode>
                <c:ptCount val="7"/>
                <c:pt idx="0">
                  <c:v>6468.5466666666662</c:v>
                </c:pt>
                <c:pt idx="1">
                  <c:v>4832.376666666667</c:v>
                </c:pt>
                <c:pt idx="2">
                  <c:v>4882.9800000000005</c:v>
                </c:pt>
                <c:pt idx="3">
                  <c:v>4765.1366666666663</c:v>
                </c:pt>
                <c:pt idx="4">
                  <c:v>4459.4066666666668</c:v>
                </c:pt>
                <c:pt idx="5">
                  <c:v>3067.47</c:v>
                </c:pt>
                <c:pt idx="6">
                  <c:v>1754.4533333333331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8D-49DE-BD62-4D54408B8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993568"/>
        <c:axId val="385858992"/>
      </c:scatterChart>
      <c:valAx>
        <c:axId val="38499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58992"/>
        <c:crosses val="autoZero"/>
        <c:crossBetween val="midCat"/>
      </c:valAx>
      <c:valAx>
        <c:axId val="38585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Price/ct vs color G; Lab grown Diamond</a:t>
            </a:r>
          </a:p>
        </c:rich>
      </c:tx>
      <c:layout>
        <c:manualLayout>
          <c:xMode val="edge"/>
          <c:yMode val="edge"/>
          <c:x val="0.12689327048039084"/>
          <c:y val="3.81365578609863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9.1164419696939836E-2"/>
                  <c:y val="6.58879292445551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'Q4 Regresstion Equation'!$A$19:$A$26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'Q4 Regresstion Equation'!$F$19:$F$26</c:f>
              <c:numCache>
                <c:formatCode>_(* #,##0.00_);_(* \(#,##0.00\);_(* "-"??_);_(@_)</c:formatCode>
                <c:ptCount val="8"/>
                <c:pt idx="0">
                  <c:v>1763.5087257659618</c:v>
                </c:pt>
                <c:pt idx="1">
                  <c:v>1330.2457629540713</c:v>
                </c:pt>
                <c:pt idx="2">
                  <c:v>1272.7008484553241</c:v>
                </c:pt>
                <c:pt idx="3">
                  <c:v>1387.3306822485529</c:v>
                </c:pt>
                <c:pt idx="4">
                  <c:v>1392.9698212970354</c:v>
                </c:pt>
                <c:pt idx="5">
                  <c:v>1076.4013267482408</c:v>
                </c:pt>
                <c:pt idx="6">
                  <c:v>936.9281045751635</c:v>
                </c:pt>
                <c:pt idx="7">
                  <c:v>401.93827160493828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6-43F0-A672-28B87A47B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362688"/>
        <c:axId val="394976384"/>
      </c:scatterChart>
      <c:valAx>
        <c:axId val="38536268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6384"/>
        <c:crosses val="autoZero"/>
        <c:crossBetween val="midCat"/>
      </c:valAx>
      <c:valAx>
        <c:axId val="39497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62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Price/ct vs clarity VS2; Lab grown Diamond </a:t>
            </a:r>
          </a:p>
        </c:rich>
      </c:tx>
      <c:layout>
        <c:manualLayout>
          <c:xMode val="edge"/>
          <c:yMode val="edge"/>
          <c:x val="0.15609174223494257"/>
          <c:y val="4.76628212816724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3154079897668196E-2"/>
                  <c:y val="0.110705943708180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'Q4 Regresstion Equation'!$B$18:$H$18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'Q4 Regresstion Equation'!$B$22:$H$22</c:f>
              <c:numCache>
                <c:formatCode>_(* #,##0.00_);_(* \(#,##0.00\);_(* "-"??_);_(@_)</c:formatCode>
                <c:ptCount val="7"/>
                <c:pt idx="0">
                  <c:v>2207.8205128205127</c:v>
                </c:pt>
                <c:pt idx="1">
                  <c:v>1581.0824534071896</c:v>
                </c:pt>
                <c:pt idx="2">
                  <c:v>1697.8568997374307</c:v>
                </c:pt>
                <c:pt idx="3">
                  <c:v>1456.8614978621656</c:v>
                </c:pt>
                <c:pt idx="4">
                  <c:v>1387.3306822485529</c:v>
                </c:pt>
                <c:pt idx="5">
                  <c:v>972.67986798679874</c:v>
                </c:pt>
                <c:pt idx="6">
                  <c:v>1152.1126785244896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2-4611-A073-24678F745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078256"/>
        <c:axId val="376365440"/>
      </c:scatterChart>
      <c:valAx>
        <c:axId val="37607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65440"/>
        <c:crosses val="autoZero"/>
        <c:crossBetween val="midCat"/>
      </c:valAx>
      <c:valAx>
        <c:axId val="37636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7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'Q2 Heat Map'!$A$3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CC00CC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Map'!$B$3:$H$3</c:f>
              <c:numCache>
                <c:formatCode>#,##0.00</c:formatCode>
                <c:ptCount val="7"/>
                <c:pt idx="0">
                  <c:v>7254.44</c:v>
                </c:pt>
                <c:pt idx="1">
                  <c:v>6356.6766666666663</c:v>
                </c:pt>
                <c:pt idx="2">
                  <c:v>6162.4199999999992</c:v>
                </c:pt>
                <c:pt idx="3">
                  <c:v>5252.2433333333329</c:v>
                </c:pt>
                <c:pt idx="4">
                  <c:v>6514.7966666666662</c:v>
                </c:pt>
                <c:pt idx="5">
                  <c:v>3596.2033333333334</c:v>
                </c:pt>
                <c:pt idx="6">
                  <c:v>2481.9466666666667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B-4C4D-A979-140A6FE9F475}"/>
            </c:ext>
          </c:extLst>
        </c:ser>
        <c:ser>
          <c:idx val="1"/>
          <c:order val="1"/>
          <c:tx>
            <c:strRef>
              <c:f>'Q2 Heat Map'!$A$4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Map'!$B$4:$H$4</c:f>
              <c:numCache>
                <c:formatCode>#,##0.00</c:formatCode>
                <c:ptCount val="7"/>
                <c:pt idx="0">
                  <c:v>6343.5166666666664</c:v>
                </c:pt>
                <c:pt idx="1">
                  <c:v>6461.833333333333</c:v>
                </c:pt>
                <c:pt idx="2">
                  <c:v>5893.07</c:v>
                </c:pt>
                <c:pt idx="3">
                  <c:v>4596.82</c:v>
                </c:pt>
                <c:pt idx="4">
                  <c:v>5013.086666666667</c:v>
                </c:pt>
                <c:pt idx="5">
                  <c:v>2892.126666666667</c:v>
                </c:pt>
                <c:pt idx="6">
                  <c:v>1746.605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6B-4C4D-A979-140A6FE9F475}"/>
            </c:ext>
          </c:extLst>
        </c:ser>
        <c:ser>
          <c:idx val="2"/>
          <c:order val="2"/>
          <c:tx>
            <c:strRef>
              <c:f>'Q2 Heat Map'!$A$5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Map'!$B$5:$H$5</c:f>
              <c:numCache>
                <c:formatCode>#,##0.00</c:formatCode>
                <c:ptCount val="7"/>
                <c:pt idx="0">
                  <c:v>7200.0566666666664</c:v>
                </c:pt>
                <c:pt idx="1">
                  <c:v>6074.9199999999992</c:v>
                </c:pt>
                <c:pt idx="2">
                  <c:v>6003.0366666666669</c:v>
                </c:pt>
                <c:pt idx="3">
                  <c:v>4881.5166666666673</c:v>
                </c:pt>
                <c:pt idx="4">
                  <c:v>4740.7766666666666</c:v>
                </c:pt>
                <c:pt idx="5">
                  <c:v>3869.1666666666665</c:v>
                </c:pt>
                <c:pt idx="6">
                  <c:v>1862.87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6B-4C4D-A979-140A6FE9F475}"/>
            </c:ext>
          </c:extLst>
        </c:ser>
        <c:ser>
          <c:idx val="3"/>
          <c:order val="3"/>
          <c:tx>
            <c:strRef>
              <c:f>'Q2 Heat Map'!$A$6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Map'!$B$6:$H$6</c:f>
              <c:numCache>
                <c:formatCode>#,##0.00</c:formatCode>
                <c:ptCount val="7"/>
                <c:pt idx="0">
                  <c:v>6468.5466666666662</c:v>
                </c:pt>
                <c:pt idx="1">
                  <c:v>4832.376666666667</c:v>
                </c:pt>
                <c:pt idx="2">
                  <c:v>4882.9800000000005</c:v>
                </c:pt>
                <c:pt idx="3">
                  <c:v>4765.1366666666663</c:v>
                </c:pt>
                <c:pt idx="4">
                  <c:v>4459.4066666666668</c:v>
                </c:pt>
                <c:pt idx="5">
                  <c:v>3067.47</c:v>
                </c:pt>
                <c:pt idx="6">
                  <c:v>1754.4533333333331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6B-4C4D-A979-140A6FE9F475}"/>
            </c:ext>
          </c:extLst>
        </c:ser>
        <c:ser>
          <c:idx val="4"/>
          <c:order val="4"/>
          <c:tx>
            <c:strRef>
              <c:f>'Q2 Heat Map'!$A$7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Map'!$B$7:$H$7</c:f>
              <c:numCache>
                <c:formatCode>#,##0.00</c:formatCode>
                <c:ptCount val="7"/>
                <c:pt idx="0">
                  <c:v>5243.3877170325732</c:v>
                </c:pt>
                <c:pt idx="1">
                  <c:v>7043.0059523809532</c:v>
                </c:pt>
                <c:pt idx="2">
                  <c:v>6305.0039391611499</c:v>
                </c:pt>
                <c:pt idx="3">
                  <c:v>5802.9922992299225</c:v>
                </c:pt>
                <c:pt idx="4">
                  <c:v>5226.3696369636964</c:v>
                </c:pt>
                <c:pt idx="5">
                  <c:v>3856.6666666666665</c:v>
                </c:pt>
                <c:pt idx="6">
                  <c:v>3040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6B-4C4D-A979-140A6FE9F475}"/>
            </c:ext>
          </c:extLst>
        </c:ser>
        <c:ser>
          <c:idx val="5"/>
          <c:order val="5"/>
          <c:tx>
            <c:strRef>
              <c:f>'Q2 Heat Map'!$A$8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Map'!$B$8:$H$8</c:f>
              <c:numCache>
                <c:formatCode>#,##0.00</c:formatCode>
                <c:ptCount val="7"/>
                <c:pt idx="0">
                  <c:v>5168.8362192383629</c:v>
                </c:pt>
                <c:pt idx="1">
                  <c:v>5003.7926743494018</c:v>
                </c:pt>
                <c:pt idx="2">
                  <c:v>4141.3841972432538</c:v>
                </c:pt>
                <c:pt idx="3">
                  <c:v>3183.7689768976902</c:v>
                </c:pt>
                <c:pt idx="4">
                  <c:v>4358.5907859078588</c:v>
                </c:pt>
                <c:pt idx="5">
                  <c:v>3750.6666666666665</c:v>
                </c:pt>
                <c:pt idx="6">
                  <c:v>3306.6666666666665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6B-4C4D-A979-140A6FE9F475}"/>
            </c:ext>
          </c:extLst>
        </c:ser>
        <c:ser>
          <c:idx val="6"/>
          <c:order val="6"/>
          <c:tx>
            <c:strRef>
              <c:f>'Q2 Heat Map'!$A$9</c:f>
              <c:strCache>
                <c:ptCount val="1"/>
                <c:pt idx="0">
                  <c:v>J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Map'!$B$9:$H$9</c:f>
              <c:numCache>
                <c:formatCode>#,##0.00</c:formatCode>
                <c:ptCount val="7"/>
                <c:pt idx="0">
                  <c:v>3373.1154063121644</c:v>
                </c:pt>
                <c:pt idx="1">
                  <c:v>3164.0264026402638</c:v>
                </c:pt>
                <c:pt idx="2">
                  <c:v>3789.339933993399</c:v>
                </c:pt>
                <c:pt idx="3">
                  <c:v>3040.5940594059407</c:v>
                </c:pt>
                <c:pt idx="4">
                  <c:v>3275.7269700332963</c:v>
                </c:pt>
                <c:pt idx="5">
                  <c:v>3276.002717918851</c:v>
                </c:pt>
                <c:pt idx="6">
                  <c:v>3025.8861340679523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6B-4C4D-A979-140A6FE9F475}"/>
            </c:ext>
          </c:extLst>
        </c:ser>
        <c:ser>
          <c:idx val="7"/>
          <c:order val="7"/>
          <c:tx>
            <c:strRef>
              <c:f>'Q2 Heat Map'!$A$10</c:f>
              <c:strCache>
                <c:ptCount val="1"/>
                <c:pt idx="0">
                  <c:v>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'Q2 Heat Map'!$B$2:$H$2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Map'!$B$10:$H$10</c:f>
              <c:numCache>
                <c:formatCode>#,##0.00</c:formatCode>
                <c:ptCount val="7"/>
                <c:pt idx="0">
                  <c:v>2626.7843137254899</c:v>
                </c:pt>
                <c:pt idx="1">
                  <c:v>2456.5165016501651</c:v>
                </c:pt>
                <c:pt idx="2">
                  <c:v>2112.9198213939039</c:v>
                </c:pt>
                <c:pt idx="3">
                  <c:v>1866.8118811881188</c:v>
                </c:pt>
                <c:pt idx="4">
                  <c:v>1881.6946260663801</c:v>
                </c:pt>
                <c:pt idx="5">
                  <c:v>1985.8679547566408</c:v>
                </c:pt>
                <c:pt idx="6">
                  <c:v>1539.6327982312794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6B-4C4D-A979-140A6FE9F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8001487"/>
        <c:axId val="1948005327"/>
      </c:barChart>
      <c:catAx>
        <c:axId val="1948001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30" b="0" i="0" u="none" strike="noStrike" kern="1200" cap="all" baseline="0">
                <a:solidFill>
                  <a:schemeClr val="bg1">
                    <a:alpha val="99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48005327"/>
        <c:crosses val="autoZero"/>
        <c:auto val="1"/>
        <c:lblAlgn val="ctr"/>
        <c:lblOffset val="100"/>
        <c:noMultiLvlLbl val="0"/>
      </c:catAx>
      <c:valAx>
        <c:axId val="19480053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30" b="0" i="0" u="none" strike="noStrike" kern="1200" cap="all" baseline="0">
                <a:solidFill>
                  <a:schemeClr val="bg1">
                    <a:alpha val="99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48001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30" b="0" i="0" u="none" strike="noStrike" kern="1200" cap="all" baseline="0">
              <a:solidFill>
                <a:schemeClr val="tx1">
                  <a:alpha val="64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30" b="0" i="0" cap="all" baseline="0">
          <a:solidFill>
            <a:schemeClr val="tx1">
              <a:alpha val="64000"/>
            </a:schemeClr>
          </a:solidFill>
          <a:latin typeface="Avenir Next LT Pro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'Q2 Heat Map'!$J$3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CC00CC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Map'!$K$3:$Q$3</c:f>
              <c:numCache>
                <c:formatCode>#,##0.00</c:formatCode>
                <c:ptCount val="7"/>
                <c:pt idx="0">
                  <c:v>3857.4421118094106</c:v>
                </c:pt>
                <c:pt idx="1">
                  <c:v>2416.9266291422227</c:v>
                </c:pt>
                <c:pt idx="2">
                  <c:v>2246.3818433125366</c:v>
                </c:pt>
                <c:pt idx="3">
                  <c:v>1921.6576785883717</c:v>
                </c:pt>
                <c:pt idx="4">
                  <c:v>1763.5087257659618</c:v>
                </c:pt>
                <c:pt idx="5">
                  <c:v>1370.0914873418806</c:v>
                </c:pt>
                <c:pt idx="6">
                  <c:v>1134.8450661579921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D-4AF2-B1B6-90AD991E0CAE}"/>
            </c:ext>
          </c:extLst>
        </c:ser>
        <c:ser>
          <c:idx val="1"/>
          <c:order val="1"/>
          <c:tx>
            <c:strRef>
              <c:f>'Q2 Heat Map'!$J$4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Map'!$K$4:$Q$4</c:f>
              <c:numCache>
                <c:formatCode>#,##0.00</c:formatCode>
                <c:ptCount val="7"/>
                <c:pt idx="0">
                  <c:v>2566.8877099911583</c:v>
                </c:pt>
                <c:pt idx="1">
                  <c:v>2826.3896594236398</c:v>
                </c:pt>
                <c:pt idx="2">
                  <c:v>1992.5302845420622</c:v>
                </c:pt>
                <c:pt idx="3">
                  <c:v>1520.2368990289021</c:v>
                </c:pt>
                <c:pt idx="4">
                  <c:v>1330.2457629540713</c:v>
                </c:pt>
                <c:pt idx="5">
                  <c:v>1387.2222222222219</c:v>
                </c:pt>
                <c:pt idx="6">
                  <c:v>1525.2222222222219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FD-4AF2-B1B6-90AD991E0CAE}"/>
            </c:ext>
          </c:extLst>
        </c:ser>
        <c:ser>
          <c:idx val="2"/>
          <c:order val="2"/>
          <c:tx>
            <c:strRef>
              <c:f>'Q2 Heat Map'!$J$5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Map'!$K$5:$Q$5</c:f>
              <c:numCache>
                <c:formatCode>#,##0.00</c:formatCode>
                <c:ptCount val="7"/>
                <c:pt idx="0">
                  <c:v>2267</c:v>
                </c:pt>
                <c:pt idx="1">
                  <c:v>2087.9718814972834</c:v>
                </c:pt>
                <c:pt idx="2">
                  <c:v>1684.2315515955263</c:v>
                </c:pt>
                <c:pt idx="3">
                  <c:v>1384.5366284201234</c:v>
                </c:pt>
                <c:pt idx="4">
                  <c:v>1272.7008484553241</c:v>
                </c:pt>
                <c:pt idx="5">
                  <c:v>1052.1232913515698</c:v>
                </c:pt>
                <c:pt idx="6">
                  <c:v>1139.8531029573546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FD-4AF2-B1B6-90AD991E0CAE}"/>
            </c:ext>
          </c:extLst>
        </c:ser>
        <c:ser>
          <c:idx val="3"/>
          <c:order val="3"/>
          <c:tx>
            <c:strRef>
              <c:f>'Q2 Heat Map'!$J$6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Map'!$K$6:$Q$6</c:f>
              <c:numCache>
                <c:formatCode>#,##0.00</c:formatCode>
                <c:ptCount val="7"/>
                <c:pt idx="0">
                  <c:v>2207.8205128205127</c:v>
                </c:pt>
                <c:pt idx="1">
                  <c:v>1581.0824534071896</c:v>
                </c:pt>
                <c:pt idx="2">
                  <c:v>1697.8568997374307</c:v>
                </c:pt>
                <c:pt idx="3">
                  <c:v>1456.8614978621656</c:v>
                </c:pt>
                <c:pt idx="4">
                  <c:v>1387.3306822485529</c:v>
                </c:pt>
                <c:pt idx="5">
                  <c:v>972.67986798679874</c:v>
                </c:pt>
                <c:pt idx="6">
                  <c:v>1152.1126785244896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FD-4AF2-B1B6-90AD991E0CAE}"/>
            </c:ext>
          </c:extLst>
        </c:ser>
        <c:ser>
          <c:idx val="4"/>
          <c:order val="4"/>
          <c:tx>
            <c:strRef>
              <c:f>'Q2 Heat Map'!$J$7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Map'!$K$7:$Q$7</c:f>
              <c:numCache>
                <c:formatCode>#,##0.00</c:formatCode>
                <c:ptCount val="7"/>
                <c:pt idx="0">
                  <c:v>1258.6666666666667</c:v>
                </c:pt>
                <c:pt idx="1">
                  <c:v>1689.6228938683344</c:v>
                </c:pt>
                <c:pt idx="2">
                  <c:v>1683.2038469804427</c:v>
                </c:pt>
                <c:pt idx="3">
                  <c:v>1460.050107372942</c:v>
                </c:pt>
                <c:pt idx="4">
                  <c:v>1392.9698212970354</c:v>
                </c:pt>
                <c:pt idx="5">
                  <c:v>1090.9638186040827</c:v>
                </c:pt>
                <c:pt idx="6">
                  <c:v>1038.5595238095236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FD-4AF2-B1B6-90AD991E0CAE}"/>
            </c:ext>
          </c:extLst>
        </c:ser>
        <c:ser>
          <c:idx val="5"/>
          <c:order val="5"/>
          <c:tx>
            <c:strRef>
              <c:f>'Q2 Heat Map'!$J$8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Map'!$K$8:$Q$8</c:f>
              <c:numCache>
                <c:formatCode>#,##0.00</c:formatCode>
                <c:ptCount val="7"/>
                <c:pt idx="1">
                  <c:v>1349.5726495726497</c:v>
                </c:pt>
                <c:pt idx="2">
                  <c:v>1238.9655377362403</c:v>
                </c:pt>
                <c:pt idx="3">
                  <c:v>1195.5162009707465</c:v>
                </c:pt>
                <c:pt idx="4">
                  <c:v>1076.4013267482408</c:v>
                </c:pt>
                <c:pt idx="5">
                  <c:v>1123.1322272498744</c:v>
                </c:pt>
                <c:pt idx="6">
                  <c:v>1029.1243831363763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4FD-4AF2-B1B6-90AD991E0CAE}"/>
            </c:ext>
          </c:extLst>
        </c:ser>
        <c:ser>
          <c:idx val="6"/>
          <c:order val="6"/>
          <c:tx>
            <c:strRef>
              <c:f>'Q2 Heat Map'!$J$9</c:f>
              <c:strCache>
                <c:ptCount val="1"/>
                <c:pt idx="0">
                  <c:v>J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Map'!$K$9:$Q$9</c:f>
              <c:numCache>
                <c:formatCode>#,##0.00</c:formatCode>
                <c:ptCount val="7"/>
                <c:pt idx="1">
                  <c:v>1030.8072778661015</c:v>
                </c:pt>
                <c:pt idx="2">
                  <c:v>1379.7805788982259</c:v>
                </c:pt>
                <c:pt idx="3">
                  <c:v>1228.260412427079</c:v>
                </c:pt>
                <c:pt idx="4">
                  <c:v>936.9281045751635</c:v>
                </c:pt>
                <c:pt idx="5">
                  <c:v>889.47194719471952</c:v>
                </c:pt>
                <c:pt idx="6">
                  <c:v>888.34951456310682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FD-4AF2-B1B6-90AD991E0CAE}"/>
            </c:ext>
          </c:extLst>
        </c:ser>
        <c:ser>
          <c:idx val="7"/>
          <c:order val="7"/>
          <c:tx>
            <c:strRef>
              <c:f>'Q2 Heat Map'!$J$10</c:f>
              <c:strCache>
                <c:ptCount val="1"/>
                <c:pt idx="0">
                  <c:v>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'Q2 Heat Map'!$K$2:$Q$2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'Q2 Heat Map'!$K$10:$Q$10</c:f>
              <c:numCache>
                <c:formatCode>#,##0.00</c:formatCode>
                <c:ptCount val="7"/>
                <c:pt idx="2">
                  <c:v>484.0515151515151</c:v>
                </c:pt>
                <c:pt idx="4">
                  <c:v>401.93827160493828</c:v>
                </c:pt>
                <c:pt idx="5">
                  <c:v>339.60396039603961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FD-4AF2-B1B6-90AD991E0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8425279"/>
        <c:axId val="1428425759"/>
      </c:barChart>
      <c:catAx>
        <c:axId val="1428425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30" b="0" i="0" u="none" strike="noStrike" kern="1200" cap="all" baseline="0">
                <a:solidFill>
                  <a:schemeClr val="bg1">
                    <a:alpha val="99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428425759"/>
        <c:crosses val="autoZero"/>
        <c:auto val="1"/>
        <c:lblAlgn val="ctr"/>
        <c:lblOffset val="100"/>
        <c:noMultiLvlLbl val="0"/>
      </c:catAx>
      <c:valAx>
        <c:axId val="1428425759"/>
        <c:scaling>
          <c:orientation val="minMax"/>
          <c:max val="80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30" b="0" i="0" u="none" strike="noStrike" kern="1200" cap="all" baseline="0">
                <a:solidFill>
                  <a:schemeClr val="bg1">
                    <a:alpha val="99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428425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30" b="0" i="0" u="none" strike="noStrike" kern="1200" cap="all" baseline="0">
              <a:solidFill>
                <a:schemeClr val="tx1">
                  <a:alpha val="64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30" b="0" i="0" u="none" strike="noStrike" kern="1200" cap="all" baseline="0">
          <a:solidFill>
            <a:schemeClr val="tx1">
              <a:alpha val="64000"/>
            </a:schemeClr>
          </a:solidFill>
          <a:latin typeface="Avenir Next LT Pro" panose="020B0504020202020204" pitchFamily="34" charset="0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00" normalizeH="0" baseline="0">
                <a:solidFill>
                  <a:schemeClr val="lt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r>
              <a:rPr lang="en-US" sz="1400"/>
              <a:t>Line</a:t>
            </a:r>
            <a:r>
              <a:rPr lang="en-US" sz="1400" baseline="0"/>
              <a:t> Chart for </a:t>
            </a:r>
            <a:r>
              <a:rPr lang="en-US" sz="1400" baseline="0">
                <a:solidFill>
                  <a:srgbClr val="FFFF00"/>
                </a:solidFill>
              </a:rPr>
              <a:t>natural diamond</a:t>
            </a:r>
            <a:r>
              <a:rPr lang="en-US" sz="1400" baseline="0"/>
              <a:t>, g color</a:t>
            </a:r>
            <a:endParaRPr lang="en-US" sz="1400"/>
          </a:p>
        </c:rich>
      </c:tx>
      <c:overlay val="0"/>
      <c:spPr>
        <a:noFill/>
        <a:ln>
          <a:noFill/>
        </a:ln>
        <a:effectLst>
          <a:outerShdw blurRad="50800" dist="38100" dir="5100000" sx="200000" sy="200000" algn="tl" rotWithShape="0">
            <a:prstClr val="black">
              <a:alpha val="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00" normalizeH="0" baseline="0">
              <a:solidFill>
                <a:schemeClr val="lt1"/>
              </a:solidFill>
              <a:latin typeface="Biome" panose="020B05030302040208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Summary'!$L$3:$R$3</c:f>
              <c:strCache>
                <c:ptCount val="1"/>
                <c:pt idx="0">
                  <c:v>IF VVS1 VVS2 VS1 VS2 SI1 SI2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trendline>
            <c:spPr>
              <a:ln w="28575" cap="rnd">
                <a:solidFill>
                  <a:srgbClr val="C00000">
                    <a:alpha val="69000"/>
                  </a:srgbClr>
                </a:solidFill>
                <a:round/>
              </a:ln>
              <a:effectLst>
                <a:outerShdw blurRad="63500" dist="50800" dir="5400000" algn="ctr" rotWithShape="0">
                  <a:srgbClr val="000000">
                    <a:alpha val="43137"/>
                  </a:srgbClr>
                </a:outerShdw>
              </a:effectLst>
            </c:spPr>
            <c:trendlineType val="linear"/>
            <c:dispRSqr val="1"/>
            <c:dispEq val="1"/>
            <c:trendlineLbl>
              <c:layout>
                <c:manualLayout>
                  <c:x val="4.052769508855001E-2"/>
                  <c:y val="-0.3423109753565479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lt1"/>
                      </a:solidFill>
                      <a:latin typeface="Biome" panose="020B05030302040208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8575" cap="rnd">
                <a:solidFill>
                  <a:srgbClr val="C00000">
                    <a:alpha val="36000"/>
                  </a:srgbClr>
                </a:solidFill>
                <a:round/>
              </a:ln>
              <a:effectLst>
                <a:outerShdw blurRad="50800" dist="50800" dir="2400000" algn="ctr" rotWithShape="0">
                  <a:srgbClr val="000000">
                    <a:alpha val="43137"/>
                  </a:srgbClr>
                </a:outerShdw>
              </a:effectLst>
            </c:spPr>
            <c:trendlineType val="linear"/>
            <c:dispRSqr val="0"/>
            <c:dispEq val="0"/>
          </c:trendline>
          <c:cat>
            <c:strRef>
              <c:f>Dashboard!$A$6:$A$13</c:f>
              <c:strCache>
                <c:ptCount val="8"/>
                <c:pt idx="0">
                  <c:v>D</c:v>
                </c:pt>
                <c:pt idx="1">
                  <c:v>E</c:v>
                </c:pt>
                <c:pt idx="2">
                  <c:v>F</c:v>
                </c:pt>
                <c:pt idx="3">
                  <c:v>G</c:v>
                </c:pt>
                <c:pt idx="4">
                  <c:v>H</c:v>
                </c:pt>
                <c:pt idx="5">
                  <c:v>I</c:v>
                </c:pt>
                <c:pt idx="6">
                  <c:v>J</c:v>
                </c:pt>
                <c:pt idx="7">
                  <c:v>K</c:v>
                </c:pt>
              </c:strCache>
            </c:strRef>
          </c:cat>
          <c:val>
            <c:numRef>
              <c:f>Dashboard!$F$6:$F$13</c:f>
              <c:numCache>
                <c:formatCode>_(* #,##0.00_);_(* \(#,##0.00\);_(* "-"??_);_(@_)</c:formatCode>
                <c:ptCount val="8"/>
                <c:pt idx="0">
                  <c:v>6514.7966666666662</c:v>
                </c:pt>
                <c:pt idx="1">
                  <c:v>5013.086666666667</c:v>
                </c:pt>
                <c:pt idx="2">
                  <c:v>4740.7766666666666</c:v>
                </c:pt>
                <c:pt idx="3">
                  <c:v>4459.4066666666668</c:v>
                </c:pt>
                <c:pt idx="4">
                  <c:v>5226.3696369636964</c:v>
                </c:pt>
                <c:pt idx="5">
                  <c:v>4358.5907859078588</c:v>
                </c:pt>
                <c:pt idx="6">
                  <c:v>3275.7269700332963</c:v>
                </c:pt>
                <c:pt idx="7">
                  <c:v>1881.6946260663801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1-4E0F-8811-B86D8AA77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677437264"/>
        <c:axId val="1677449744"/>
      </c:lineChart>
      <c:catAx>
        <c:axId val="167743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100" baseline="0">
                <a:solidFill>
                  <a:schemeClr val="lt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1677449744"/>
        <c:crosses val="autoZero"/>
        <c:auto val="1"/>
        <c:lblAlgn val="ctr"/>
        <c:lblOffset val="100"/>
        <c:noMultiLvlLbl val="0"/>
      </c:catAx>
      <c:valAx>
        <c:axId val="16774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7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167743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 baseline="0">
          <a:latin typeface="Biome" panose="020B05030302040208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cap="all" spc="100" normalizeH="0" baseline="0">
                <a:solidFill>
                  <a:sysClr val="window" lastClr="FFFFFF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r>
              <a:rPr lang="en-US" sz="1400" b="1" i="0" u="none" strike="noStrike" kern="1200" cap="all" spc="100" normalizeH="0" baseline="0">
                <a:solidFill>
                  <a:sysClr val="window" lastClr="FFFFFF"/>
                </a:solidFill>
                <a:latin typeface="Biome" panose="020B0503030204020804" pitchFamily="34" charset="0"/>
                <a:ea typeface="+mn-ea"/>
                <a:cs typeface="+mn-cs"/>
              </a:rPr>
              <a:t>Line Chart for </a:t>
            </a:r>
            <a:r>
              <a:rPr lang="en-US" sz="1400" b="1" i="0" u="none" strike="noStrike" kern="1200" cap="all" spc="100" normalizeH="0" baseline="0">
                <a:solidFill>
                  <a:schemeClr val="accent6">
                    <a:lumMod val="40000"/>
                    <a:lumOff val="60000"/>
                  </a:schemeClr>
                </a:solidFill>
                <a:latin typeface="Biome" panose="020B0503030204020804" pitchFamily="34" charset="0"/>
                <a:ea typeface="+mn-ea"/>
                <a:cs typeface="+mn-cs"/>
              </a:rPr>
              <a:t>synthetic diamond</a:t>
            </a:r>
            <a:r>
              <a:rPr lang="en-US" sz="1400" b="1" i="0" u="none" strike="noStrike" kern="1200" cap="all" spc="100" normalizeH="0" baseline="0">
                <a:solidFill>
                  <a:sysClr val="window" lastClr="FFFFFF"/>
                </a:solidFill>
                <a:latin typeface="Biome" panose="020B0503030204020804" pitchFamily="34" charset="0"/>
                <a:ea typeface="+mn-ea"/>
                <a:cs typeface="+mn-cs"/>
              </a:rPr>
              <a:t>, g color</a:t>
            </a:r>
          </a:p>
        </c:rich>
      </c:tx>
      <c:overlay val="0"/>
      <c:spPr>
        <a:noFill/>
        <a:ln>
          <a:noFill/>
        </a:ln>
        <a:effectLst>
          <a:outerShdw blurRad="50800" dist="50800" dir="5400000" sx="7000" sy="7000" algn="ctr" rotWithShape="0">
            <a:srgbClr val="000000">
              <a:alpha val="43137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cap="all" spc="100" normalizeH="0" baseline="0">
              <a:solidFill>
                <a:sysClr val="window" lastClr="FFFFFF"/>
              </a:solidFill>
              <a:latin typeface="Biome" panose="020B05030302040208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088062922095825"/>
          <c:y val="0.1680682631613197"/>
          <c:w val="0.83911941914311139"/>
          <c:h val="0.72990011062666749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92D05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rgbClr val="FF0000">
                    <a:alpha val="91000"/>
                  </a:srgbClr>
                </a:solidFill>
                <a:round/>
              </a:ln>
              <a:effectLst>
                <a:outerShdw blurRad="50800" dist="50800" dir="2400000" algn="ctr" rotWithShape="0">
                  <a:srgbClr val="000000">
                    <a:alpha val="43000"/>
                  </a:srgbClr>
                </a:outerShdw>
              </a:effectLst>
            </c:spPr>
            <c:trendlineType val="linear"/>
            <c:dispRSqr val="1"/>
            <c:dispEq val="1"/>
            <c:trendlineLbl>
              <c:layout>
                <c:manualLayout>
                  <c:x val="1.5457756496391259E-2"/>
                  <c:y val="-0.23141817282653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lt1"/>
                      </a:solidFill>
                      <a:latin typeface="Biome" panose="020B05030302040208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Dashboard!$A$17:$A$24</c:f>
              <c:strCache>
                <c:ptCount val="8"/>
                <c:pt idx="0">
                  <c:v>D</c:v>
                </c:pt>
                <c:pt idx="1">
                  <c:v>E</c:v>
                </c:pt>
                <c:pt idx="2">
                  <c:v>F</c:v>
                </c:pt>
                <c:pt idx="3">
                  <c:v>G</c:v>
                </c:pt>
                <c:pt idx="4">
                  <c:v>H</c:v>
                </c:pt>
                <c:pt idx="5">
                  <c:v>I</c:v>
                </c:pt>
                <c:pt idx="6">
                  <c:v>J</c:v>
                </c:pt>
                <c:pt idx="7">
                  <c:v>K</c:v>
                </c:pt>
              </c:strCache>
            </c:strRef>
          </c:cat>
          <c:val>
            <c:numRef>
              <c:f>Dashboard!$F$17:$F$24</c:f>
              <c:numCache>
                <c:formatCode>_(* #,##0.00_);_(* \(#,##0.00\);_(* "-"??_);_(@_)</c:formatCode>
                <c:ptCount val="8"/>
                <c:pt idx="0">
                  <c:v>1763.5087257659618</c:v>
                </c:pt>
                <c:pt idx="1">
                  <c:v>1330.2457629540713</c:v>
                </c:pt>
                <c:pt idx="2">
                  <c:v>1272.7008484553241</c:v>
                </c:pt>
                <c:pt idx="3">
                  <c:v>1387.3306822485529</c:v>
                </c:pt>
                <c:pt idx="4">
                  <c:v>1392.9698212970354</c:v>
                </c:pt>
                <c:pt idx="5">
                  <c:v>1076.4013267482408</c:v>
                </c:pt>
                <c:pt idx="6">
                  <c:v>936.9281045751635</c:v>
                </c:pt>
                <c:pt idx="7">
                  <c:v>401.93827160493828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7-406F-B94A-846F1390B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677482384"/>
        <c:axId val="1677457904"/>
      </c:lineChart>
      <c:catAx>
        <c:axId val="16774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100" baseline="0">
                <a:solidFill>
                  <a:schemeClr val="lt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1677457904"/>
        <c:crosses val="autoZero"/>
        <c:auto val="1"/>
        <c:lblAlgn val="ctr"/>
        <c:lblOffset val="100"/>
        <c:noMultiLvlLbl val="0"/>
      </c:catAx>
      <c:valAx>
        <c:axId val="1677457904"/>
        <c:scaling>
          <c:orientation val="minMax"/>
          <c:max val="25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7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1677482384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 baseline="0">
          <a:latin typeface="Biome" panose="020B05030302040208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r>
              <a:rPr lang="en-US" sz="1400" b="1" i="0" cap="all" baseline="0">
                <a:effectLst/>
              </a:rPr>
              <a:t>Line Chart for </a:t>
            </a:r>
            <a:r>
              <a:rPr lang="en-US" sz="1400" b="1" i="0" cap="all" baseline="0">
                <a:solidFill>
                  <a:srgbClr val="FFFF00"/>
                </a:solidFill>
                <a:effectLst/>
              </a:rPr>
              <a:t>natural diamond</a:t>
            </a:r>
            <a:r>
              <a:rPr lang="en-US" sz="1400" b="1" i="0" cap="all" baseline="0">
                <a:effectLst/>
              </a:rPr>
              <a:t>, VS1 Clarity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bg1"/>
              </a:solidFill>
              <a:latin typeface="Biome" panose="020B05030302040208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>
                <a:outerShdw blurRad="50800" dist="50800" dir="5400000" algn="ctr" rotWithShape="0">
                  <a:srgbClr val="000000">
                    <a:alpha val="43000"/>
                  </a:srgbClr>
                </a:outerShdw>
              </a:effectLst>
            </c:spPr>
            <c:trendlineType val="linear"/>
            <c:dispRSqr val="1"/>
            <c:dispEq val="1"/>
            <c:trendlineLbl>
              <c:layout>
                <c:manualLayout>
                  <c:x val="4.4641054751876949E-2"/>
                  <c:y val="-0.381947782842934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100" b="0" i="0" u="none" strike="noStrike" kern="1200" baseline="0">
                      <a:solidFill>
                        <a:schemeClr val="bg1"/>
                      </a:solidFill>
                      <a:latin typeface="Biome" panose="020B05030302040208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Dashboard!$B$5:$H$5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Dashboard!$B$9:$H$9</c:f>
              <c:numCache>
                <c:formatCode>_(* #,##0.00_);_(* \(#,##0.00\);_(* "-"??_);_(@_)</c:formatCode>
                <c:ptCount val="7"/>
                <c:pt idx="0">
                  <c:v>6468.5466666666662</c:v>
                </c:pt>
                <c:pt idx="1">
                  <c:v>4832.376666666667</c:v>
                </c:pt>
                <c:pt idx="2">
                  <c:v>4882.9800000000005</c:v>
                </c:pt>
                <c:pt idx="3">
                  <c:v>4765.1366666666663</c:v>
                </c:pt>
                <c:pt idx="4">
                  <c:v>4459.4066666666668</c:v>
                </c:pt>
                <c:pt idx="5">
                  <c:v>3067.47</c:v>
                </c:pt>
                <c:pt idx="6">
                  <c:v>1754.4533333333331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1-4CE4-BB01-904E557AD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30000"/>
                      <a:lumOff val="70000"/>
                      <a:alpha val="0"/>
                    </a:schemeClr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421160016"/>
        <c:axId val="421172016"/>
      </c:lineChart>
      <c:catAx>
        <c:axId val="42116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421172016"/>
        <c:crosses val="autoZero"/>
        <c:auto val="1"/>
        <c:lblAlgn val="ctr"/>
        <c:lblOffset val="100"/>
        <c:noMultiLvlLbl val="0"/>
      </c:catAx>
      <c:valAx>
        <c:axId val="4211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7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42116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100" b="0" i="0" u="none" strike="noStrike" kern="1200" baseline="0">
          <a:solidFill>
            <a:schemeClr val="bg1"/>
          </a:solidFill>
          <a:latin typeface="Biome" panose="020B0503030204020804" pitchFamily="34" charset="0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r>
              <a:rPr lang="en-US" sz="1400" b="1" i="0" cap="all" baseline="0">
                <a:effectLst/>
              </a:rPr>
              <a:t>Line Chart for </a:t>
            </a:r>
            <a:r>
              <a:rPr lang="en-US" sz="1400" b="1" i="0" cap="all" baseline="0">
                <a:solidFill>
                  <a:schemeClr val="accent6">
                    <a:lumMod val="40000"/>
                    <a:lumOff val="60000"/>
                  </a:schemeClr>
                </a:solidFill>
                <a:effectLst/>
              </a:rPr>
              <a:t>synthetic diamond</a:t>
            </a:r>
            <a:r>
              <a:rPr lang="en-US" sz="1400" b="1" i="0" cap="all" baseline="0">
                <a:effectLst/>
              </a:rPr>
              <a:t>, vs1 clarity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bg1"/>
              </a:solidFill>
              <a:latin typeface="Biome" panose="020B05030302040208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>
                    <a:alpha val="91000"/>
                  </a:srgbClr>
                </a:solidFill>
                <a:prstDash val="solid"/>
              </a:ln>
              <a:effectLst>
                <a:outerShdw blurRad="50800" dist="50800" dir="5400000" algn="ctr" rotWithShape="0">
                  <a:srgbClr val="000000">
                    <a:alpha val="43000"/>
                  </a:srgbClr>
                </a:outerShdw>
              </a:effectLst>
            </c:spPr>
            <c:trendlineType val="linear"/>
            <c:dispRSqr val="1"/>
            <c:dispEq val="1"/>
            <c:trendlineLbl>
              <c:layout>
                <c:manualLayout>
                  <c:x val="3.6106974190229624E-2"/>
                  <c:y val="-0.29025642099614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100" b="0" i="0" u="none" strike="noStrike" kern="1200" baseline="0">
                      <a:solidFill>
                        <a:schemeClr val="bg1"/>
                      </a:solidFill>
                      <a:latin typeface="Biome" panose="020B05030302040208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Dashboard!$B$16:$H$16</c:f>
              <c:strCache>
                <c:ptCount val="7"/>
                <c:pt idx="0">
                  <c:v>IF</c:v>
                </c:pt>
                <c:pt idx="1">
                  <c:v>VVS1</c:v>
                </c:pt>
                <c:pt idx="2">
                  <c:v>VVS2</c:v>
                </c:pt>
                <c:pt idx="3">
                  <c:v>VS1</c:v>
                </c:pt>
                <c:pt idx="4">
                  <c:v>VS2</c:v>
                </c:pt>
                <c:pt idx="5">
                  <c:v>SI1</c:v>
                </c:pt>
                <c:pt idx="6">
                  <c:v>SI2</c:v>
                </c:pt>
              </c:strCache>
            </c:strRef>
          </c:cat>
          <c:val>
            <c:numRef>
              <c:f>Dashboard!$B$20:$H$20</c:f>
              <c:numCache>
                <c:formatCode>_(* #,##0.00_);_(* \(#,##0.00\);_(* "-"??_);_(@_)</c:formatCode>
                <c:ptCount val="7"/>
                <c:pt idx="0">
                  <c:v>2207.8205128205127</c:v>
                </c:pt>
                <c:pt idx="1">
                  <c:v>1581.0824534071896</c:v>
                </c:pt>
                <c:pt idx="2">
                  <c:v>1697.8568997374307</c:v>
                </c:pt>
                <c:pt idx="3">
                  <c:v>1456.8614978621656</c:v>
                </c:pt>
                <c:pt idx="4">
                  <c:v>1387.3306822485529</c:v>
                </c:pt>
                <c:pt idx="5">
                  <c:v>972.67986798679874</c:v>
                </c:pt>
                <c:pt idx="6">
                  <c:v>1152.1126785244896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66-4DF2-AE3E-F9F03CF98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30000"/>
                      <a:lumOff val="70000"/>
                      <a:alpha val="0"/>
                    </a:schemeClr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421190256"/>
        <c:axId val="421215216"/>
      </c:lineChart>
      <c:catAx>
        <c:axId val="42119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421215216"/>
        <c:crosses val="autoZero"/>
        <c:auto val="1"/>
        <c:lblAlgn val="ctr"/>
        <c:lblOffset val="100"/>
        <c:noMultiLvlLbl val="0"/>
      </c:catAx>
      <c:valAx>
        <c:axId val="42121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7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Biome" panose="020B0503030204020804" pitchFamily="34" charset="0"/>
                <a:ea typeface="+mn-ea"/>
                <a:cs typeface="+mn-cs"/>
              </a:defRPr>
            </a:pPr>
            <a:endParaRPr lang="en-US"/>
          </a:p>
        </c:txPr>
        <c:crossAx val="42119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100" b="0" i="0" u="none" strike="noStrike" kern="1200" baseline="0">
          <a:solidFill>
            <a:schemeClr val="bg1"/>
          </a:solidFill>
          <a:latin typeface="Biome" panose="020B0503030204020804" pitchFamily="34" charset="0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hart" Target="../charts/chart14.xml"/><Relationship Id="rId3" Type="http://schemas.microsoft.com/office/2007/relationships/hdphoto" Target="../media/hdphoto1.wdp"/><Relationship Id="rId7" Type="http://schemas.openxmlformats.org/officeDocument/2006/relationships/image" Target="../media/image4.emf"/><Relationship Id="rId12" Type="http://schemas.openxmlformats.org/officeDocument/2006/relationships/chart" Target="../charts/chart13.xml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6" Type="http://schemas.openxmlformats.org/officeDocument/2006/relationships/image" Target="../media/image3.png"/><Relationship Id="rId11" Type="http://schemas.openxmlformats.org/officeDocument/2006/relationships/chart" Target="../charts/chart12.xml"/><Relationship Id="rId5" Type="http://schemas.openxmlformats.org/officeDocument/2006/relationships/image" Target="../media/image2.emf"/><Relationship Id="rId15" Type="http://schemas.openxmlformats.org/officeDocument/2006/relationships/image" Target="../media/image8.emf"/><Relationship Id="rId10" Type="http://schemas.openxmlformats.org/officeDocument/2006/relationships/chart" Target="../charts/chart11.xml"/><Relationship Id="rId4" Type="http://schemas.openxmlformats.org/officeDocument/2006/relationships/chart" Target="../charts/chart10.xml"/><Relationship Id="rId9" Type="http://schemas.openxmlformats.org/officeDocument/2006/relationships/image" Target="../media/image6.emf"/><Relationship Id="rId1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5</xdr:row>
      <xdr:rowOff>152400</xdr:rowOff>
    </xdr:from>
    <xdr:to>
      <xdr:col>13</xdr:col>
      <xdr:colOff>723900</xdr:colOff>
      <xdr:row>20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144440</xdr:colOff>
      <xdr:row>5</xdr:row>
      <xdr:rowOff>170287</xdr:rowOff>
    </xdr:from>
    <xdr:to>
      <xdr:col>19</xdr:col>
      <xdr:colOff>586257</xdr:colOff>
      <xdr:row>20</xdr:row>
      <xdr:rowOff>30587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288636</xdr:colOff>
      <xdr:row>21</xdr:row>
      <xdr:rowOff>25399</xdr:rowOff>
    </xdr:from>
    <xdr:to>
      <xdr:col>13</xdr:col>
      <xdr:colOff>704273</xdr:colOff>
      <xdr:row>35</xdr:row>
      <xdr:rowOff>9236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11545</xdr:colOff>
      <xdr:row>21</xdr:row>
      <xdr:rowOff>13853</xdr:rowOff>
    </xdr:from>
    <xdr:to>
      <xdr:col>19</xdr:col>
      <xdr:colOff>427181</xdr:colOff>
      <xdr:row>34</xdr:row>
      <xdr:rowOff>193962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0</xdr:row>
      <xdr:rowOff>76200</xdr:rowOff>
    </xdr:from>
    <xdr:to>
      <xdr:col>13</xdr:col>
      <xdr:colOff>673100</xdr:colOff>
      <xdr:row>14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781050</xdr:colOff>
      <xdr:row>0</xdr:row>
      <xdr:rowOff>88900</xdr:rowOff>
    </xdr:from>
    <xdr:to>
      <xdr:col>19</xdr:col>
      <xdr:colOff>400050</xdr:colOff>
      <xdr:row>14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227693</xdr:colOff>
      <xdr:row>15</xdr:row>
      <xdr:rowOff>81643</xdr:rowOff>
    </xdr:from>
    <xdr:to>
      <xdr:col>13</xdr:col>
      <xdr:colOff>672193</xdr:colOff>
      <xdr:row>29</xdr:row>
      <xdr:rowOff>132443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68036</xdr:colOff>
      <xdr:row>15</xdr:row>
      <xdr:rowOff>88900</xdr:rowOff>
    </xdr:from>
    <xdr:to>
      <xdr:col>19</xdr:col>
      <xdr:colOff>470807</xdr:colOff>
      <xdr:row>29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121644</xdr:colOff>
      <xdr:row>0</xdr:row>
      <xdr:rowOff>0</xdr:rowOff>
    </xdr:from>
    <xdr:to>
      <xdr:col>28</xdr:col>
      <xdr:colOff>132642</xdr:colOff>
      <xdr:row>87</xdr:row>
      <xdr:rowOff>115455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pSpPr/>
      </xdr:nvGrpSpPr>
      <xdr:grpSpPr>
        <a:xfrm>
          <a:off x="13625977" y="0"/>
          <a:ext cx="5937665" cy="22382788"/>
          <a:chOff x="12652237" y="176696"/>
          <a:chExt cx="5309704" cy="6625258"/>
        </a:xfrm>
      </xdr:grpSpPr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12652237" y="176696"/>
            <a:ext cx="5309704" cy="6625258"/>
          </a:xfrm>
          <a:prstGeom prst="roundRect">
            <a:avLst>
              <a:gd name="adj" fmla="val 0"/>
            </a:avLst>
          </a:prstGeom>
          <a:gradFill flip="none" rotWithShape="1">
            <a:gsLst>
              <a:gs pos="0">
                <a:schemeClr val="accent1">
                  <a:lumMod val="40000"/>
                  <a:lumOff val="60000"/>
                  <a:alpha val="0"/>
                </a:schemeClr>
              </a:gs>
              <a:gs pos="46000">
                <a:schemeClr val="accent1">
                  <a:lumMod val="95000"/>
                  <a:lumOff val="5000"/>
                  <a:alpha val="62000"/>
                </a:schemeClr>
              </a:gs>
              <a:gs pos="94000">
                <a:srgbClr val="6967B1">
                  <a:alpha val="43000"/>
                </a:srgbClr>
              </a:gs>
            </a:gsLst>
            <a:path path="circle">
              <a:fillToRect l="50000" t="130000" r="50000" b="-3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800-000021000000}"/>
              </a:ext>
            </a:extLst>
          </xdr:cNvPr>
          <xdr:cNvSpPr/>
        </xdr:nvSpPr>
        <xdr:spPr>
          <a:xfrm>
            <a:off x="12826724" y="361675"/>
            <a:ext cx="4977877" cy="3408810"/>
          </a:xfrm>
          <a:prstGeom prst="roundRect">
            <a:avLst>
              <a:gd name="adj" fmla="val 6020"/>
            </a:avLst>
          </a:prstGeom>
          <a:gradFill flip="none" rotWithShape="1">
            <a:gsLst>
              <a:gs pos="0">
                <a:schemeClr val="accent1">
                  <a:lumMod val="40000"/>
                  <a:lumOff val="60000"/>
                  <a:alpha val="0"/>
                </a:schemeClr>
              </a:gs>
              <a:gs pos="46000">
                <a:schemeClr val="accent1">
                  <a:lumMod val="95000"/>
                  <a:lumOff val="5000"/>
                  <a:alpha val="62000"/>
                </a:schemeClr>
              </a:gs>
              <a:gs pos="94000">
                <a:srgbClr val="6967B1">
                  <a:alpha val="43000"/>
                </a:srgbClr>
              </a:gs>
            </a:gsLst>
            <a:path path="circle">
              <a:fillToRect l="50000" t="130000" r="50000" b="-3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258098</xdr:colOff>
      <xdr:row>0</xdr:row>
      <xdr:rowOff>0</xdr:rowOff>
    </xdr:from>
    <xdr:to>
      <xdr:col>18</xdr:col>
      <xdr:colOff>122296</xdr:colOff>
      <xdr:row>87</xdr:row>
      <xdr:rowOff>109105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7624098" y="0"/>
          <a:ext cx="6002531" cy="22376438"/>
          <a:chOff x="12652237" y="176696"/>
          <a:chExt cx="5309704" cy="6625258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2826724" y="361674"/>
            <a:ext cx="4977877" cy="3416427"/>
          </a:xfrm>
          <a:prstGeom prst="roundRect">
            <a:avLst>
              <a:gd name="adj" fmla="val 6020"/>
            </a:avLst>
          </a:prstGeom>
          <a:gradFill flip="none" rotWithShape="1">
            <a:gsLst>
              <a:gs pos="0">
                <a:schemeClr val="accent1">
                  <a:lumMod val="40000"/>
                  <a:lumOff val="60000"/>
                  <a:alpha val="0"/>
                </a:schemeClr>
              </a:gs>
              <a:gs pos="46000">
                <a:schemeClr val="accent1">
                  <a:lumMod val="95000"/>
                  <a:lumOff val="5000"/>
                  <a:alpha val="62000"/>
                </a:schemeClr>
              </a:gs>
              <a:gs pos="94000">
                <a:srgbClr val="6967B1">
                  <a:alpha val="43000"/>
                </a:srgbClr>
              </a:gs>
            </a:gsLst>
            <a:path path="circle">
              <a:fillToRect l="50000" t="130000" r="50000" b="-3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2652237" y="176696"/>
            <a:ext cx="5309704" cy="6625258"/>
          </a:xfrm>
          <a:prstGeom prst="roundRect">
            <a:avLst>
              <a:gd name="adj" fmla="val 0"/>
            </a:avLst>
          </a:prstGeom>
          <a:gradFill flip="none" rotWithShape="1">
            <a:gsLst>
              <a:gs pos="0">
                <a:schemeClr val="accent1">
                  <a:lumMod val="40000"/>
                  <a:lumOff val="60000"/>
                  <a:alpha val="0"/>
                </a:schemeClr>
              </a:gs>
              <a:gs pos="46000">
                <a:schemeClr val="accent1">
                  <a:lumMod val="95000"/>
                  <a:lumOff val="5000"/>
                  <a:alpha val="62000"/>
                </a:schemeClr>
              </a:gs>
              <a:gs pos="94000">
                <a:srgbClr val="6967B1">
                  <a:alpha val="43000"/>
                </a:srgbClr>
              </a:gs>
            </a:gsLst>
            <a:path path="circle">
              <a:fillToRect l="50000" t="130000" r="50000" b="-3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87923</xdr:colOff>
      <xdr:row>1</xdr:row>
      <xdr:rowOff>154859</xdr:rowOff>
    </xdr:from>
    <xdr:to>
      <xdr:col>17</xdr:col>
      <xdr:colOff>542925</xdr:colOff>
      <xdr:row>11</xdr:row>
      <xdr:rowOff>161192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159655" y="387176"/>
          <a:ext cx="5974855" cy="2766260"/>
        </a:xfrm>
        <a:prstGeom prst="roundRect">
          <a:avLst/>
        </a:prstGeom>
        <a:solidFill>
          <a:srgbClr val="6966E0"/>
        </a:solidFill>
        <a:ln>
          <a:noFill/>
        </a:ln>
        <a:effectLst>
          <a:outerShdw blurRad="225425" dist="50800" dir="5220000" algn="ctr">
            <a:srgbClr val="000000">
              <a:alpha val="18000"/>
            </a:srgbClr>
          </a:outerShdw>
          <a:softEdge rad="444500"/>
        </a:effectLst>
        <a:scene3d>
          <a:camera prst="perspectiveRight">
            <a:rot lat="0" lon="1199986" rev="0"/>
          </a:camera>
          <a:lightRig rig="harsh" dir="t"/>
        </a:scene3d>
        <a:sp3d extrusionH="158750" prstMaterial="translucentPowder">
          <a:bevelT w="31750" h="44450" prst="angle"/>
          <a:bevelB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433681</xdr:colOff>
      <xdr:row>24</xdr:row>
      <xdr:rowOff>206520</xdr:rowOff>
    </xdr:from>
    <xdr:to>
      <xdr:col>17</xdr:col>
      <xdr:colOff>460963</xdr:colOff>
      <xdr:row>43</xdr:row>
      <xdr:rowOff>157240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578849</xdr:colOff>
      <xdr:row>1</xdr:row>
      <xdr:rowOff>232269</xdr:rowOff>
    </xdr:from>
    <xdr:to>
      <xdr:col>17</xdr:col>
      <xdr:colOff>446172</xdr:colOff>
      <xdr:row>9</xdr:row>
      <xdr:rowOff>7342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 amt="85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-660000">
          <a:off x="4594589" y="407529"/>
          <a:ext cx="1696124" cy="2106201"/>
        </a:xfrm>
        <a:prstGeom prst="rect">
          <a:avLst/>
        </a:prstGeom>
        <a:ln>
          <a:noFill/>
        </a:ln>
        <a:effectLst>
          <a:outerShdw blurRad="355600" dir="600000" sx="98000" sy="98000" algn="tl" rotWithShape="0">
            <a:srgbClr val="000000">
              <a:alpha val="45000"/>
            </a:srgbClr>
          </a:outerShdw>
          <a:softEdge rad="0"/>
        </a:effectLst>
      </xdr:spPr>
    </xdr:pic>
    <xdr:clientData/>
  </xdr:twoCellAnchor>
  <xdr:twoCellAnchor>
    <xdr:from>
      <xdr:col>9</xdr:col>
      <xdr:colOff>93391</xdr:colOff>
      <xdr:row>2</xdr:row>
      <xdr:rowOff>50224</xdr:rowOff>
    </xdr:from>
    <xdr:to>
      <xdr:col>15</xdr:col>
      <xdr:colOff>450637</xdr:colOff>
      <xdr:row>3</xdr:row>
      <xdr:rowOff>121263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7778440" y="598492"/>
          <a:ext cx="4037148" cy="582137"/>
        </a:xfrm>
        <a:prstGeom prst="rect">
          <a:avLst/>
        </a:pr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Natural</a:t>
          </a:r>
          <a:r>
            <a:rPr lang="en-US" sz="3200" b="1" baseline="0">
              <a:solidFill>
                <a:schemeClr val="bg1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Diamonds</a:t>
          </a:r>
          <a:endParaRPr lang="en-US" sz="3200" b="1">
            <a:solidFill>
              <a:schemeClr val="bg1"/>
            </a:solidFill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9</xdr:col>
      <xdr:colOff>114755</xdr:colOff>
      <xdr:row>5</xdr:row>
      <xdr:rowOff>221326</xdr:rowOff>
    </xdr:from>
    <xdr:to>
      <xdr:col>11</xdr:col>
      <xdr:colOff>479777</xdr:colOff>
      <xdr:row>7</xdr:row>
      <xdr:rowOff>126412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7806193" y="1769139"/>
          <a:ext cx="1587397" cy="397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  <a:latin typeface="Biome" panose="020B0503030204020804" pitchFamily="34" charset="0"/>
              <a:cs typeface="Biome" panose="020B0503030204020804" pitchFamily="34" charset="0"/>
            </a:rPr>
            <a:t>Minimum value</a:t>
          </a:r>
        </a:p>
      </xdr:txBody>
    </xdr:sp>
    <xdr:clientData/>
  </xdr:twoCellAnchor>
  <xdr:twoCellAnchor>
    <xdr:from>
      <xdr:col>11</xdr:col>
      <xdr:colOff>264545</xdr:colOff>
      <xdr:row>5</xdr:row>
      <xdr:rowOff>118196</xdr:rowOff>
    </xdr:from>
    <xdr:to>
      <xdr:col>14</xdr:col>
      <xdr:colOff>272815</xdr:colOff>
      <xdr:row>7</xdr:row>
      <xdr:rowOff>173449</xdr:rowOff>
    </xdr:to>
    <xdr:sp macro="" textlink="'Data Summary'!C13">
      <xdr:nvSpPr>
        <xdr:cNvPr id="10" name="TextBox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9178358" y="1666009"/>
          <a:ext cx="1841832" cy="5473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CA904C-8EE2-48ED-A217-D88F7948B60C}" type="TxLink">
            <a:rPr lang="en-US" sz="2800" b="0" i="0" u="none" strike="noStrike">
              <a:solidFill>
                <a:schemeClr val="accent2">
                  <a:lumMod val="20000"/>
                  <a:lumOff val="80000"/>
                </a:schemeClr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/>
            <a:t>1,539.63</a:t>
          </a:fld>
          <a:endParaRPr lang="en-US" sz="2800">
            <a:solidFill>
              <a:schemeClr val="accent2">
                <a:lumMod val="20000"/>
                <a:lumOff val="80000"/>
              </a:schemeClr>
            </a:solidFill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9</xdr:col>
      <xdr:colOff>99637</xdr:colOff>
      <xdr:row>7</xdr:row>
      <xdr:rowOff>243680</xdr:rowOff>
    </xdr:from>
    <xdr:to>
      <xdr:col>11</xdr:col>
      <xdr:colOff>311673</xdr:colOff>
      <xdr:row>9</xdr:row>
      <xdr:rowOff>123951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7791075" y="2283618"/>
          <a:ext cx="1434411" cy="3723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  <a:latin typeface="Biome" panose="020B0503030204020804" pitchFamily="34" charset="0"/>
              <a:cs typeface="Biome" panose="020B0503030204020804" pitchFamily="34" charset="0"/>
            </a:rPr>
            <a:t>Maximum value</a:t>
          </a:r>
        </a:p>
      </xdr:txBody>
    </xdr:sp>
    <xdr:clientData/>
  </xdr:twoCellAnchor>
  <xdr:twoCellAnchor>
    <xdr:from>
      <xdr:col>11</xdr:col>
      <xdr:colOff>264781</xdr:colOff>
      <xdr:row>7</xdr:row>
      <xdr:rowOff>100830</xdr:rowOff>
    </xdr:from>
    <xdr:to>
      <xdr:col>14</xdr:col>
      <xdr:colOff>206963</xdr:colOff>
      <xdr:row>9</xdr:row>
      <xdr:rowOff>182855</xdr:rowOff>
    </xdr:to>
    <xdr:sp macro="" textlink="'Data Summary'!C12">
      <xdr:nvSpPr>
        <xdr:cNvPr id="12" name="TextBox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9178594" y="2140768"/>
          <a:ext cx="1775744" cy="574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623698C-92E2-425D-A314-0BCB0FE448C8}" type="TxLink">
            <a:rPr lang="en-US" sz="2800" b="0" i="0" u="none" strike="noStrike">
              <a:solidFill>
                <a:schemeClr val="accent6">
                  <a:lumMod val="20000"/>
                  <a:lumOff val="80000"/>
                </a:schemeClr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7,254.44</a:t>
          </a:fld>
          <a:endParaRPr lang="en-US" sz="2800" b="0" i="0" u="none" strike="noStrike">
            <a:solidFill>
              <a:schemeClr val="accent6">
                <a:lumMod val="20000"/>
                <a:lumOff val="80000"/>
              </a:schemeClr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8</xdr:col>
      <xdr:colOff>580869</xdr:colOff>
      <xdr:row>15</xdr:row>
      <xdr:rowOff>101600</xdr:rowOff>
    </xdr:from>
    <xdr:to>
      <xdr:col>17</xdr:col>
      <xdr:colOff>443459</xdr:colOff>
      <xdr:row>17</xdr:row>
      <xdr:rowOff>116840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7946869" y="4207933"/>
          <a:ext cx="5387090" cy="523240"/>
          <a:chOff x="1229980" y="3074341"/>
          <a:chExt cx="5365923" cy="372721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1229980" y="3074341"/>
            <a:ext cx="5365923" cy="372721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50000">
                <a:srgbClr val="6967B1">
                  <a:shade val="67500"/>
                  <a:satMod val="115000"/>
                  <a:alpha val="28000"/>
                </a:srgbClr>
              </a:gs>
              <a:gs pos="100000">
                <a:srgbClr val="6967B1">
                  <a:shade val="100000"/>
                  <a:satMod val="115000"/>
                  <a:alpha val="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1491485" y="3109701"/>
            <a:ext cx="382451" cy="278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IF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 txBox="1"/>
        </xdr:nvSpPr>
        <xdr:spPr>
          <a:xfrm>
            <a:off x="2131836" y="3107920"/>
            <a:ext cx="605683" cy="27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VVS1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 txBox="1"/>
        </xdr:nvSpPr>
        <xdr:spPr>
          <a:xfrm>
            <a:off x="2871217" y="3107319"/>
            <a:ext cx="647667" cy="2745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VVS2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SpPr txBox="1"/>
        </xdr:nvSpPr>
        <xdr:spPr>
          <a:xfrm>
            <a:off x="3707550" y="3101014"/>
            <a:ext cx="514879" cy="2626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VS1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4455717" y="3099680"/>
            <a:ext cx="524881" cy="2578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VS2</a:t>
            </a: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5239857" y="3107921"/>
            <a:ext cx="439584" cy="2679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SI1</a:t>
            </a: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 txBox="1"/>
        </xdr:nvSpPr>
        <xdr:spPr>
          <a:xfrm>
            <a:off x="5998660" y="3106155"/>
            <a:ext cx="476894" cy="2454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SI2</a:t>
            </a:r>
          </a:p>
        </xdr:txBody>
      </xdr:sp>
    </xdr:grpSp>
    <xdr:clientData/>
  </xdr:twoCellAnchor>
  <xdr:twoCellAnchor>
    <xdr:from>
      <xdr:col>14</xdr:col>
      <xdr:colOff>176217</xdr:colOff>
      <xdr:row>6</xdr:row>
      <xdr:rowOff>133928</xdr:rowOff>
    </xdr:from>
    <xdr:to>
      <xdr:col>17</xdr:col>
      <xdr:colOff>517695</xdr:colOff>
      <xdr:row>22</xdr:row>
      <xdr:rowOff>98886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11225217" y="1954261"/>
          <a:ext cx="2182978" cy="4028958"/>
          <a:chOff x="16017471" y="1876613"/>
          <a:chExt cx="2401038" cy="2868628"/>
        </a:xfrm>
      </xdr:grpSpPr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16017471" y="1876613"/>
            <a:ext cx="465045" cy="0"/>
          </a:xfrm>
          <a:prstGeom prst="line">
            <a:avLst/>
          </a:prstGeom>
          <a:ln w="9525" cap="flat" cmpd="sng" algn="ctr">
            <a:solidFill>
              <a:schemeClr val="accent4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CxnSpPr/>
        </xdr:nvCxnSpPr>
        <xdr:spPr>
          <a:xfrm flipH="1">
            <a:off x="16436674" y="1908080"/>
            <a:ext cx="14177" cy="861488"/>
          </a:xfrm>
          <a:prstGeom prst="line">
            <a:avLst/>
          </a:prstGeom>
          <a:ln w="9525" cap="flat" cmpd="sng" algn="ctr">
            <a:solidFill>
              <a:schemeClr val="accent4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 flipH="1" flipV="1">
            <a:off x="16404322" y="2768654"/>
            <a:ext cx="2001995" cy="17607"/>
          </a:xfrm>
          <a:prstGeom prst="line">
            <a:avLst/>
          </a:prstGeom>
          <a:ln w="9525" cap="flat" cmpd="sng" algn="ctr">
            <a:solidFill>
              <a:schemeClr val="accent4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CxnSpPr/>
        </xdr:nvCxnSpPr>
        <xdr:spPr>
          <a:xfrm flipV="1">
            <a:off x="18406857" y="2789598"/>
            <a:ext cx="11652" cy="1953396"/>
          </a:xfrm>
          <a:prstGeom prst="line">
            <a:avLst/>
          </a:prstGeom>
          <a:ln w="9525" cap="flat" cmpd="sng" algn="ctr">
            <a:solidFill>
              <a:schemeClr val="accent4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CxnSpPr/>
        </xdr:nvCxnSpPr>
        <xdr:spPr>
          <a:xfrm flipH="1">
            <a:off x="18300536" y="4741718"/>
            <a:ext cx="108691" cy="3523"/>
          </a:xfrm>
          <a:prstGeom prst="line">
            <a:avLst/>
          </a:prstGeom>
          <a:ln w="9525" cap="flat" cmpd="sng" algn="ctr">
            <a:solidFill>
              <a:schemeClr val="accent4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145154</xdr:colOff>
      <xdr:row>6</xdr:row>
      <xdr:rowOff>103188</xdr:rowOff>
    </xdr:from>
    <xdr:to>
      <xdr:col>14</xdr:col>
      <xdr:colOff>230188</xdr:colOff>
      <xdr:row>6</xdr:row>
      <xdr:rowOff>176517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0892529" y="1897063"/>
          <a:ext cx="85034" cy="73329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360088</xdr:colOff>
      <xdr:row>9</xdr:row>
      <xdr:rowOff>139925</xdr:rowOff>
    </xdr:from>
    <xdr:to>
      <xdr:col>12</xdr:col>
      <xdr:colOff>426719</xdr:colOff>
      <xdr:row>9</xdr:row>
      <xdr:rowOff>202617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9885088" y="2671988"/>
          <a:ext cx="66631" cy="62692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35169</xdr:colOff>
      <xdr:row>9</xdr:row>
      <xdr:rowOff>175843</xdr:rowOff>
    </xdr:from>
    <xdr:to>
      <xdr:col>12</xdr:col>
      <xdr:colOff>392725</xdr:colOff>
      <xdr:row>18</xdr:row>
      <xdr:rowOff>46891</xdr:rowOff>
    </xdr:to>
    <xdr:cxnSp macro="">
      <xdr:nvCxnSpPr>
        <xdr:cNvPr id="31" name="Connector: Elbow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 rot="10800000" flipV="1">
          <a:off x="1002909" y="2233243"/>
          <a:ext cx="2186356" cy="1273128"/>
        </a:xfrm>
        <a:prstGeom prst="bentConnector3">
          <a:avLst>
            <a:gd name="adj1" fmla="val 107373"/>
          </a:avLst>
        </a:prstGeom>
        <a:ln>
          <a:solidFill>
            <a:schemeClr val="accent6">
              <a:lumMod val="40000"/>
              <a:lumOff val="60000"/>
            </a:schemeClr>
          </a:solidFill>
          <a:prstDash val="sysDash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324758</xdr:colOff>
      <xdr:row>24</xdr:row>
      <xdr:rowOff>161018</xdr:rowOff>
    </xdr:from>
    <xdr:to>
      <xdr:col>27</xdr:col>
      <xdr:colOff>517072</xdr:colOff>
      <xdr:row>43</xdr:row>
      <xdr:rowOff>108859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583163</xdr:colOff>
      <xdr:row>17</xdr:row>
      <xdr:rowOff>116632</xdr:rowOff>
    </xdr:from>
    <xdr:to>
      <xdr:col>17</xdr:col>
      <xdr:colOff>419099</xdr:colOff>
      <xdr:row>22</xdr:row>
      <xdr:rowOff>168195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18"/>
        <a:stretch/>
      </xdr:blipFill>
      <xdr:spPr bwMode="auto">
        <a:xfrm>
          <a:off x="7618615" y="4542495"/>
          <a:ext cx="5284759" cy="12519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570019</xdr:colOff>
      <xdr:row>18</xdr:row>
      <xdr:rowOff>8163</xdr:rowOff>
    </xdr:from>
    <xdr:to>
      <xdr:col>9</xdr:col>
      <xdr:colOff>33338</xdr:colOff>
      <xdr:row>18</xdr:row>
      <xdr:rowOff>80962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>
        <a:xfrm>
          <a:off x="928159" y="3467643"/>
          <a:ext cx="72919" cy="72799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374436</xdr:colOff>
      <xdr:row>22</xdr:row>
      <xdr:rowOff>62323</xdr:rowOff>
    </xdr:from>
    <xdr:to>
      <xdr:col>17</xdr:col>
      <xdr:colOff>440897</xdr:colOff>
      <xdr:row>22</xdr:row>
      <xdr:rowOff>123133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>
        <a:xfrm>
          <a:off x="12956161" y="5762781"/>
          <a:ext cx="66461" cy="60810"/>
        </a:xfrm>
        <a:prstGeom prst="ellipse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354622</xdr:colOff>
      <xdr:row>1</xdr:row>
      <xdr:rowOff>164384</xdr:rowOff>
    </xdr:from>
    <xdr:to>
      <xdr:col>28</xdr:col>
      <xdr:colOff>361949</xdr:colOff>
      <xdr:row>11</xdr:row>
      <xdr:rowOff>170717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6808762" y="339644"/>
          <a:ext cx="5966167" cy="2238993"/>
        </a:xfrm>
        <a:prstGeom prst="roundRect">
          <a:avLst/>
        </a:prstGeom>
        <a:solidFill>
          <a:srgbClr val="6966E0"/>
        </a:solidFill>
        <a:ln>
          <a:noFill/>
        </a:ln>
        <a:effectLst>
          <a:outerShdw blurRad="225425" dist="50800" dir="5220000" algn="ctr">
            <a:srgbClr val="000000">
              <a:alpha val="18000"/>
            </a:srgbClr>
          </a:outerShdw>
          <a:softEdge rad="444500"/>
        </a:effectLst>
        <a:scene3d>
          <a:camera prst="perspectiveRight">
            <a:rot lat="0" lon="20399975" rev="0"/>
          </a:camera>
          <a:lightRig rig="soft" dir="t"/>
        </a:scene3d>
        <a:sp3d extrusionH="158750" prstMaterial="translucentPowder">
          <a:bevelT w="31750" h="44450" prst="angle"/>
          <a:bevelB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20</xdr:col>
      <xdr:colOff>476250</xdr:colOff>
      <xdr:row>2</xdr:row>
      <xdr:rowOff>89903</xdr:rowOff>
    </xdr:from>
    <xdr:ext cx="4347985" cy="61170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 txBox="1"/>
      </xdr:nvSpPr>
      <xdr:spPr>
        <a:xfrm>
          <a:off x="7966710" y="585203"/>
          <a:ext cx="4347985" cy="611706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Synthetic</a:t>
          </a:r>
          <a:r>
            <a:rPr lang="en-US" sz="32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Diamonds</a:t>
          </a:r>
          <a:endParaRPr lang="en-US" sz="32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twoCellAnchor editAs="oneCell">
    <xdr:from>
      <xdr:col>18</xdr:col>
      <xdr:colOff>105130</xdr:colOff>
      <xdr:row>1</xdr:row>
      <xdr:rowOff>309771</xdr:rowOff>
    </xdr:from>
    <xdr:to>
      <xdr:col>21</xdr:col>
      <xdr:colOff>45874</xdr:colOff>
      <xdr:row>7</xdr:row>
      <xdr:rowOff>81121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alphaModFix amt="8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220000">
          <a:off x="6559270" y="485031"/>
          <a:ext cx="1640004" cy="1604430"/>
        </a:xfrm>
        <a:prstGeom prst="rect">
          <a:avLst/>
        </a:prstGeom>
        <a:ln>
          <a:noFill/>
        </a:ln>
        <a:effectLst>
          <a:outerShdw blurRad="355600" dir="600000" sx="98000" sy="98000" algn="tl" rotWithShape="0">
            <a:srgbClr val="000000">
              <a:alpha val="45000"/>
            </a:srgbClr>
          </a:outerShdw>
          <a:softEdge rad="0"/>
        </a:effectLst>
      </xdr:spPr>
    </xdr:pic>
    <xdr:clientData/>
  </xdr:twoCellAnchor>
  <xdr:twoCellAnchor>
    <xdr:from>
      <xdr:col>25</xdr:col>
      <xdr:colOff>50546</xdr:colOff>
      <xdr:row>6</xdr:row>
      <xdr:rowOff>35048</xdr:rowOff>
    </xdr:from>
    <xdr:to>
      <xdr:col>27</xdr:col>
      <xdr:colOff>358418</xdr:colOff>
      <xdr:row>7</xdr:row>
      <xdr:rowOff>111583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 txBox="1"/>
      </xdr:nvSpPr>
      <xdr:spPr>
        <a:xfrm>
          <a:off x="17316351" y="1819243"/>
          <a:ext cx="1580969" cy="318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  <a:latin typeface="Biome" panose="020B0503030204020804" pitchFamily="34" charset="0"/>
              <a:cs typeface="Biome" panose="020B0503030204020804" pitchFamily="34" charset="0"/>
            </a:rPr>
            <a:t>Minimum value</a:t>
          </a:r>
        </a:p>
      </xdr:txBody>
    </xdr:sp>
    <xdr:clientData/>
  </xdr:twoCellAnchor>
  <xdr:twoCellAnchor>
    <xdr:from>
      <xdr:col>25</xdr:col>
      <xdr:colOff>54478</xdr:colOff>
      <xdr:row>8</xdr:row>
      <xdr:rowOff>47876</xdr:rowOff>
    </xdr:from>
    <xdr:to>
      <xdr:col>27</xdr:col>
      <xdr:colOff>209364</xdr:colOff>
      <xdr:row>9</xdr:row>
      <xdr:rowOff>99598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 txBox="1"/>
      </xdr:nvSpPr>
      <xdr:spPr>
        <a:xfrm>
          <a:off x="17320283" y="2315291"/>
          <a:ext cx="1427983" cy="2933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  <a:latin typeface="Biome" panose="020B0503030204020804" pitchFamily="34" charset="0"/>
              <a:cs typeface="Biome" panose="020B0503030204020804" pitchFamily="34" charset="0"/>
            </a:rPr>
            <a:t>Maximum value</a:t>
          </a:r>
        </a:p>
      </xdr:txBody>
    </xdr:sp>
    <xdr:clientData/>
  </xdr:twoCellAnchor>
  <xdr:twoCellAnchor>
    <xdr:from>
      <xdr:col>22</xdr:col>
      <xdr:colOff>256937</xdr:colOff>
      <xdr:row>5</xdr:row>
      <xdr:rowOff>94592</xdr:rowOff>
    </xdr:from>
    <xdr:to>
      <xdr:col>25</xdr:col>
      <xdr:colOff>91440</xdr:colOff>
      <xdr:row>7</xdr:row>
      <xdr:rowOff>149844</xdr:rowOff>
    </xdr:to>
    <xdr:sp macro="" textlink="'Data Summary'!L13">
      <xdr:nvSpPr>
        <xdr:cNvPr id="45" name="TextBox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15796657" y="1643992"/>
          <a:ext cx="1556623" cy="5429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5BC9E52A-0D3F-4C81-9254-8525833ECAFA}" type="TxLink">
            <a:rPr lang="en-US" sz="2800" b="0" i="0" u="none" strike="noStrike">
              <a:solidFill>
                <a:schemeClr val="accent2">
                  <a:lumMod val="20000"/>
                  <a:lumOff val="80000"/>
                </a:schemeClr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339.60</a:t>
          </a:fld>
          <a:endParaRPr lang="en-US" sz="2800" b="0" i="0" u="none" strike="noStrike">
            <a:solidFill>
              <a:schemeClr val="accent2">
                <a:lumMod val="20000"/>
                <a:lumOff val="80000"/>
              </a:schemeClr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21</xdr:col>
      <xdr:colOff>611858</xdr:colOff>
      <xdr:row>7</xdr:row>
      <xdr:rowOff>67603</xdr:rowOff>
    </xdr:from>
    <xdr:to>
      <xdr:col>25</xdr:col>
      <xdr:colOff>217943</xdr:colOff>
      <xdr:row>9</xdr:row>
      <xdr:rowOff>219789</xdr:rowOff>
    </xdr:to>
    <xdr:sp macro="" textlink="'Data Summary'!L12">
      <xdr:nvSpPr>
        <xdr:cNvPr id="46" name="TextBox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 txBox="1"/>
      </xdr:nvSpPr>
      <xdr:spPr>
        <a:xfrm>
          <a:off x="15508029" y="2093408"/>
          <a:ext cx="1975719" cy="6354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92E11F1-92CA-45E2-B9DF-EF8CB7837F73}" type="TxLink">
            <a:rPr lang="en-US" sz="2800" b="0" i="0" u="none" strike="noStrike">
              <a:solidFill>
                <a:schemeClr val="accent6">
                  <a:lumMod val="20000"/>
                  <a:lumOff val="80000"/>
                </a:schemeClr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3,857.44</a:t>
          </a:fld>
          <a:endParaRPr lang="en-US" sz="2800" b="0" i="0" u="none" strike="noStrike">
            <a:solidFill>
              <a:schemeClr val="accent6">
                <a:lumMod val="20000"/>
                <a:lumOff val="80000"/>
              </a:schemeClr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19</xdr:col>
      <xdr:colOff>27714</xdr:colOff>
      <xdr:row>15</xdr:row>
      <xdr:rowOff>112889</xdr:rowOff>
    </xdr:from>
    <xdr:to>
      <xdr:col>27</xdr:col>
      <xdr:colOff>445340</xdr:colOff>
      <xdr:row>17</xdr:row>
      <xdr:rowOff>128129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GrpSpPr/>
      </xdr:nvGrpSpPr>
      <xdr:grpSpPr>
        <a:xfrm>
          <a:off x="13913047" y="4219222"/>
          <a:ext cx="5349460" cy="523240"/>
          <a:chOff x="1229980" y="3074341"/>
          <a:chExt cx="5365923" cy="372721"/>
        </a:xfrm>
      </xdr:grpSpPr>
      <xdr:sp macro="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1229980" y="3074341"/>
            <a:ext cx="5365923" cy="372721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50000">
                <a:srgbClr val="6967B1">
                  <a:shade val="67500"/>
                  <a:satMod val="115000"/>
                  <a:alpha val="28000"/>
                </a:srgbClr>
              </a:gs>
              <a:gs pos="100000">
                <a:srgbClr val="6967B1">
                  <a:shade val="100000"/>
                  <a:satMod val="115000"/>
                  <a:alpha val="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800-000031000000}"/>
              </a:ext>
            </a:extLst>
          </xdr:cNvPr>
          <xdr:cNvSpPr txBox="1"/>
        </xdr:nvSpPr>
        <xdr:spPr>
          <a:xfrm>
            <a:off x="1491485" y="3109701"/>
            <a:ext cx="382451" cy="278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IF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 txBox="1"/>
        </xdr:nvSpPr>
        <xdr:spPr>
          <a:xfrm>
            <a:off x="2131836" y="3107920"/>
            <a:ext cx="605683" cy="27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VVS1</a:t>
            </a:r>
          </a:p>
        </xdr:txBody>
      </xdr: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 txBox="1"/>
        </xdr:nvSpPr>
        <xdr:spPr>
          <a:xfrm>
            <a:off x="2871217" y="3107319"/>
            <a:ext cx="647667" cy="2745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VVS2</a:t>
            </a:r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800-000034000000}"/>
              </a:ext>
            </a:extLst>
          </xdr:cNvPr>
          <xdr:cNvSpPr txBox="1"/>
        </xdr:nvSpPr>
        <xdr:spPr>
          <a:xfrm>
            <a:off x="3707550" y="3101014"/>
            <a:ext cx="514879" cy="2626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VS1</a:t>
            </a:r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 txBox="1"/>
        </xdr:nvSpPr>
        <xdr:spPr>
          <a:xfrm>
            <a:off x="4455717" y="3099680"/>
            <a:ext cx="524881" cy="2578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VS2</a:t>
            </a:r>
          </a:p>
        </xdr:txBody>
      </xdr:sp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 txBox="1"/>
        </xdr:nvSpPr>
        <xdr:spPr>
          <a:xfrm>
            <a:off x="5239857" y="3107921"/>
            <a:ext cx="439584" cy="2679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SI1</a:t>
            </a:r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800-000037000000}"/>
              </a:ext>
            </a:extLst>
          </xdr:cNvPr>
          <xdr:cNvSpPr txBox="1"/>
        </xdr:nvSpPr>
        <xdr:spPr>
          <a:xfrm>
            <a:off x="5998660" y="3106155"/>
            <a:ext cx="476894" cy="2454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>
                <a:solidFill>
                  <a:schemeClr val="bg1"/>
                </a:solidFill>
                <a:latin typeface="Biome" panose="020B0503030204020804" pitchFamily="34" charset="0"/>
                <a:cs typeface="Biome" panose="020B0503030204020804" pitchFamily="34" charset="0"/>
              </a:rPr>
              <a:t>SI2</a:t>
            </a:r>
          </a:p>
        </xdr:txBody>
      </xdr:sp>
    </xdr:grpSp>
    <xdr:clientData/>
  </xdr:twoCellAnchor>
  <xdr:twoCellAnchor editAs="oneCell">
    <xdr:from>
      <xdr:col>19</xdr:col>
      <xdr:colOff>78820</xdr:colOff>
      <xdr:row>17</xdr:row>
      <xdr:rowOff>103011</xdr:rowOff>
    </xdr:from>
    <xdr:to>
      <xdr:col>27</xdr:col>
      <xdr:colOff>413657</xdr:colOff>
      <xdr:row>22</xdr:row>
      <xdr:rowOff>175140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42"/>
        <a:stretch/>
      </xdr:blipFill>
      <xdr:spPr bwMode="auto">
        <a:xfrm>
          <a:off x="6906340" y="3387231"/>
          <a:ext cx="5310698" cy="1331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625662</xdr:colOff>
      <xdr:row>6</xdr:row>
      <xdr:rowOff>83207</xdr:rowOff>
    </xdr:from>
    <xdr:to>
      <xdr:col>25</xdr:col>
      <xdr:colOff>32932</xdr:colOff>
      <xdr:row>6</xdr:row>
      <xdr:rowOff>141483</xdr:rowOff>
    </xdr:to>
    <xdr:sp macro="" textlink="">
      <xdr:nvSpPr>
        <xdr:cNvPr id="57" name="Oval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>
        <a:xfrm>
          <a:off x="17222022" y="1876447"/>
          <a:ext cx="72750" cy="58276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</xdr:colOff>
      <xdr:row>6</xdr:row>
      <xdr:rowOff>111511</xdr:rowOff>
    </xdr:from>
    <xdr:to>
      <xdr:col>27</xdr:col>
      <xdr:colOff>546783</xdr:colOff>
      <xdr:row>22</xdr:row>
      <xdr:rowOff>93071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CxnSpPr/>
      </xdr:nvCxnSpPr>
      <xdr:spPr>
        <a:xfrm rot="16200000" flipH="1">
          <a:off x="16235169" y="2937977"/>
          <a:ext cx="3890445" cy="1820660"/>
        </a:xfrm>
        <a:prstGeom prst="bentConnector3">
          <a:avLst>
            <a:gd name="adj1" fmla="val 50000"/>
          </a:avLst>
        </a:prstGeom>
        <a:ln>
          <a:prstDash val="sysDash"/>
        </a:ln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228511</xdr:colOff>
      <xdr:row>22</xdr:row>
      <xdr:rowOff>99204</xdr:rowOff>
    </xdr:from>
    <xdr:to>
      <xdr:col>27</xdr:col>
      <xdr:colOff>524075</xdr:colOff>
      <xdr:row>22</xdr:row>
      <xdr:rowOff>103821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CxnSpPr/>
      </xdr:nvCxnSpPr>
      <xdr:spPr>
        <a:xfrm flipH="1">
          <a:off x="18161687" y="5799662"/>
          <a:ext cx="906327" cy="4617"/>
        </a:xfrm>
        <a:prstGeom prst="line">
          <a:avLst/>
        </a:prstGeom>
        <a:ln>
          <a:prstDash val="sysDash"/>
        </a:ln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204237</xdr:colOff>
      <xdr:row>22</xdr:row>
      <xdr:rowOff>68276</xdr:rowOff>
    </xdr:from>
    <xdr:to>
      <xdr:col>26</xdr:col>
      <xdr:colOff>263119</xdr:colOff>
      <xdr:row>22</xdr:row>
      <xdr:rowOff>117459</xdr:rowOff>
    </xdr:to>
    <xdr:sp macro="" textlink="">
      <xdr:nvSpPr>
        <xdr:cNvPr id="60" name="Oval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>
        <a:xfrm>
          <a:off x="18137413" y="5768734"/>
          <a:ext cx="58882" cy="49183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550908</xdr:colOff>
      <xdr:row>8</xdr:row>
      <xdr:rowOff>66807</xdr:rowOff>
    </xdr:from>
    <xdr:to>
      <xdr:col>21</xdr:col>
      <xdr:colOff>624271</xdr:colOff>
      <xdr:row>8</xdr:row>
      <xdr:rowOff>132748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>
        <a:xfrm>
          <a:off x="15414287" y="2352807"/>
          <a:ext cx="73363" cy="65941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99650</xdr:colOff>
      <xdr:row>17</xdr:row>
      <xdr:rowOff>162870</xdr:rowOff>
    </xdr:from>
    <xdr:to>
      <xdr:col>19</xdr:col>
      <xdr:colOff>162871</xdr:colOff>
      <xdr:row>17</xdr:row>
      <xdr:rowOff>231654</xdr:rowOff>
    </xdr:to>
    <xdr:sp macro="" textlink="">
      <xdr:nvSpPr>
        <xdr:cNvPr id="62" name="Oval 61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>
        <a:xfrm>
          <a:off x="13664413" y="4641801"/>
          <a:ext cx="63221" cy="68784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296657</xdr:colOff>
      <xdr:row>8</xdr:row>
      <xdr:rowOff>105103</xdr:rowOff>
    </xdr:from>
    <xdr:to>
      <xdr:col>21</xdr:col>
      <xdr:colOff>297793</xdr:colOff>
      <xdr:row>11</xdr:row>
      <xdr:rowOff>238489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CxnSpPr/>
      </xdr:nvCxnSpPr>
      <xdr:spPr>
        <a:xfrm flipH="1">
          <a:off x="15187649" y="2385286"/>
          <a:ext cx="1136" cy="866302"/>
        </a:xfrm>
        <a:prstGeom prst="line">
          <a:avLst/>
        </a:prstGeom>
        <a:ln>
          <a:solidFill>
            <a:schemeClr val="accent6">
              <a:lumMod val="40000"/>
              <a:lumOff val="60000"/>
            </a:schemeClr>
          </a:solidFill>
          <a:prstDash val="sysDash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99651</xdr:colOff>
      <xdr:row>11</xdr:row>
      <xdr:rowOff>226854</xdr:rowOff>
    </xdr:from>
    <xdr:to>
      <xdr:col>21</xdr:col>
      <xdr:colOff>290841</xdr:colOff>
      <xdr:row>17</xdr:row>
      <xdr:rowOff>197261</xdr:rowOff>
    </xdr:to>
    <xdr:cxnSp macro="">
      <xdr:nvCxnSpPr>
        <xdr:cNvPr id="64" name="Connector: Elbow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>
          <a:endCxn id="62" idx="2"/>
        </xdr:cNvCxnSpPr>
      </xdr:nvCxnSpPr>
      <xdr:spPr>
        <a:xfrm rot="10800000" flipV="1">
          <a:off x="13664414" y="3239953"/>
          <a:ext cx="1517419" cy="1436239"/>
        </a:xfrm>
        <a:prstGeom prst="bentConnector3">
          <a:avLst>
            <a:gd name="adj1" fmla="val 115065"/>
          </a:avLst>
        </a:prstGeom>
        <a:ln>
          <a:solidFill>
            <a:schemeClr val="accent6">
              <a:lumMod val="40000"/>
              <a:lumOff val="60000"/>
            </a:schemeClr>
          </a:solidFill>
          <a:prstDash val="sysDash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131605</xdr:colOff>
      <xdr:row>0</xdr:row>
      <xdr:rowOff>0</xdr:rowOff>
    </xdr:from>
    <xdr:to>
      <xdr:col>42</xdr:col>
      <xdr:colOff>357835</xdr:colOff>
      <xdr:row>87</xdr:row>
      <xdr:rowOff>114300</xdr:rowOff>
    </xdr:to>
    <xdr:sp macro="" textlink="">
      <xdr:nvSpPr>
        <xdr:cNvPr id="67" name="Rectangle: Rounded Corners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>
        <a:xfrm>
          <a:off x="18279905" y="0"/>
          <a:ext cx="8760630" cy="160655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1">
                <a:alpha val="0"/>
                <a:lumMod val="44000"/>
                <a:lumOff val="56000"/>
              </a:schemeClr>
            </a:gs>
            <a:gs pos="46000">
              <a:schemeClr val="accent1">
                <a:lumMod val="95000"/>
                <a:lumOff val="5000"/>
                <a:alpha val="62000"/>
              </a:schemeClr>
            </a:gs>
            <a:gs pos="94000">
              <a:srgbClr val="6967B1">
                <a:alpha val="43000"/>
              </a:srgbClr>
            </a:gs>
          </a:gsLst>
          <a:path path="circle">
            <a:fillToRect l="50000" t="130000" r="50000" b="-3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82914</xdr:colOff>
      <xdr:row>28</xdr:row>
      <xdr:rowOff>124287</xdr:rowOff>
    </xdr:from>
    <xdr:to>
      <xdr:col>28</xdr:col>
      <xdr:colOff>239587</xdr:colOff>
      <xdr:row>28</xdr:row>
      <xdr:rowOff>124287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7176771" y="7054858"/>
          <a:ext cx="12348673" cy="0"/>
        </a:xfrm>
        <a:prstGeom prst="line">
          <a:avLst/>
        </a:prstGeom>
        <a:ln w="9525" cap="flat" cmpd="sng" algn="ctr">
          <a:solidFill>
            <a:srgbClr val="FF66FF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92884</xdr:colOff>
      <xdr:row>35</xdr:row>
      <xdr:rowOff>73385</xdr:rowOff>
    </xdr:from>
    <xdr:to>
      <xdr:col>28</xdr:col>
      <xdr:colOff>249557</xdr:colOff>
      <xdr:row>35</xdr:row>
      <xdr:rowOff>73385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>
          <a:off x="7186741" y="8654956"/>
          <a:ext cx="12348673" cy="0"/>
        </a:xfrm>
        <a:prstGeom prst="line">
          <a:avLst/>
        </a:prstGeom>
        <a:ln w="9525" cap="flat" cmpd="sng" algn="ctr">
          <a:solidFill>
            <a:srgbClr val="FF66FF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281836</xdr:colOff>
      <xdr:row>28</xdr:row>
      <xdr:rowOff>125261</xdr:rowOff>
    </xdr:from>
    <xdr:to>
      <xdr:col>20</xdr:col>
      <xdr:colOff>302206</xdr:colOff>
      <xdr:row>35</xdr:row>
      <xdr:rowOff>41753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CxnSpPr/>
      </xdr:nvCxnSpPr>
      <xdr:spPr>
        <a:xfrm>
          <a:off x="14415370" y="7139836"/>
          <a:ext cx="20370" cy="1597068"/>
        </a:xfrm>
        <a:prstGeom prst="straightConnector1">
          <a:avLst/>
        </a:prstGeom>
        <a:ln>
          <a:solidFill>
            <a:srgbClr val="FF66FF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393037</xdr:colOff>
      <xdr:row>30</xdr:row>
      <xdr:rowOff>198215</xdr:rowOff>
    </xdr:from>
    <xdr:to>
      <xdr:col>23</xdr:col>
      <xdr:colOff>314702</xdr:colOff>
      <xdr:row>33</xdr:row>
      <xdr:rowOff>141243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 txBox="1"/>
      </xdr:nvSpPr>
      <xdr:spPr>
        <a:xfrm>
          <a:off x="14707751" y="7600501"/>
          <a:ext cx="1645237" cy="650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66FF"/>
              </a:solidFill>
              <a:latin typeface="Biome" panose="020B0503030204020804" pitchFamily="34" charset="0"/>
              <a:cs typeface="Biome" panose="020B0503030204020804" pitchFamily="34" charset="0"/>
            </a:rPr>
            <a:t>7,254.44</a:t>
          </a:r>
          <a:r>
            <a:rPr lang="en-US" sz="1100" baseline="0">
              <a:solidFill>
                <a:srgbClr val="FF66FF"/>
              </a:solidFill>
              <a:latin typeface="Biome" panose="020B0503030204020804" pitchFamily="34" charset="0"/>
              <a:cs typeface="Biome" panose="020B0503030204020804" pitchFamily="34" charset="0"/>
            </a:rPr>
            <a:t> - 3,857.44</a:t>
          </a:r>
        </a:p>
        <a:p>
          <a:r>
            <a:rPr lang="en-US" sz="1100" baseline="0">
              <a:solidFill>
                <a:srgbClr val="FF66FF"/>
              </a:solidFill>
              <a:latin typeface="Biome" panose="020B0503030204020804" pitchFamily="34" charset="0"/>
              <a:cs typeface="Biome" panose="020B0503030204020804" pitchFamily="34" charset="0"/>
            </a:rPr>
            <a:t>= </a:t>
          </a:r>
          <a:r>
            <a:rPr lang="en-US" sz="1100" b="1" baseline="0">
              <a:solidFill>
                <a:srgbClr val="FF66FF"/>
              </a:solidFill>
              <a:latin typeface="Biome" panose="020B0503030204020804" pitchFamily="34" charset="0"/>
              <a:cs typeface="Biome" panose="020B0503030204020804" pitchFamily="34" charset="0"/>
            </a:rPr>
            <a:t>3,397 difference</a:t>
          </a:r>
          <a:endParaRPr lang="en-US" sz="1100" b="1">
            <a:solidFill>
              <a:srgbClr val="FF66FF"/>
            </a:solidFill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21</xdr:col>
      <xdr:colOff>299884</xdr:colOff>
      <xdr:row>8</xdr:row>
      <xdr:rowOff>101176</xdr:rowOff>
    </xdr:from>
    <xdr:to>
      <xdr:col>21</xdr:col>
      <xdr:colOff>594851</xdr:colOff>
      <xdr:row>8</xdr:row>
      <xdr:rowOff>111008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15163263" y="2387176"/>
          <a:ext cx="294967" cy="9832"/>
        </a:xfrm>
        <a:prstGeom prst="line">
          <a:avLst/>
        </a:prstGeom>
        <a:ln>
          <a:solidFill>
            <a:schemeClr val="accent6">
              <a:lumMod val="40000"/>
              <a:lumOff val="60000"/>
            </a:schemeClr>
          </a:solidFill>
          <a:prstDash val="sysDash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oneCellAnchor>
    <xdr:from>
      <xdr:col>20</xdr:col>
      <xdr:colOff>457835</xdr:colOff>
      <xdr:row>2</xdr:row>
      <xdr:rowOff>93078</xdr:rowOff>
    </xdr:from>
    <xdr:ext cx="4347985" cy="1001236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 txBox="1"/>
      </xdr:nvSpPr>
      <xdr:spPr>
        <a:xfrm>
          <a:off x="14689773" y="640766"/>
          <a:ext cx="4347985" cy="1001236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Synthetic</a:t>
          </a:r>
          <a:r>
            <a:rPr lang="en-US" sz="32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Diamonds</a:t>
          </a:r>
        </a:p>
        <a:p>
          <a:pPr algn="ctr"/>
          <a:r>
            <a:rPr lang="en-US" sz="24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(1.00 - 1.49 ct)</a:t>
          </a:r>
          <a:endParaRPr lang="en-US" sz="24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twoCellAnchor>
    <xdr:from>
      <xdr:col>9</xdr:col>
      <xdr:colOff>76882</xdr:colOff>
      <xdr:row>2</xdr:row>
      <xdr:rowOff>53232</xdr:rowOff>
    </xdr:from>
    <xdr:to>
      <xdr:col>15</xdr:col>
      <xdr:colOff>434128</xdr:colOff>
      <xdr:row>5</xdr:row>
      <xdr:rowOff>139700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 txBox="1"/>
      </xdr:nvSpPr>
      <xdr:spPr>
        <a:xfrm>
          <a:off x="7773082" y="599332"/>
          <a:ext cx="4014846" cy="1077068"/>
        </a:xfrm>
        <a:prstGeom prst="rect">
          <a:avLst/>
        </a:pr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Natural</a:t>
          </a:r>
          <a:r>
            <a:rPr lang="en-US" sz="3200" b="1" baseline="0">
              <a:solidFill>
                <a:schemeClr val="bg1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Diamonds</a:t>
          </a:r>
        </a:p>
        <a:p>
          <a:pPr algn="ctr"/>
          <a:r>
            <a:rPr lang="en-US" sz="2400" b="1" baseline="0">
              <a:solidFill>
                <a:schemeClr val="bg1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(1.00 - 1.49 ct)</a:t>
          </a:r>
          <a:endParaRPr lang="en-US" sz="3200" b="1">
            <a:solidFill>
              <a:schemeClr val="bg1"/>
            </a:solidFill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9</xdr:col>
      <xdr:colOff>465531</xdr:colOff>
      <xdr:row>48</xdr:row>
      <xdr:rowOff>58601</xdr:rowOff>
    </xdr:from>
    <xdr:to>
      <xdr:col>27</xdr:col>
      <xdr:colOff>62632</xdr:colOff>
      <xdr:row>64</xdr:row>
      <xdr:rowOff>209552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GrpSpPr/>
      </xdr:nvGrpSpPr>
      <xdr:grpSpPr>
        <a:xfrm>
          <a:off x="8445364" y="12758601"/>
          <a:ext cx="10434435" cy="4214951"/>
          <a:chOff x="18533519" y="577416"/>
          <a:chExt cx="7071731" cy="2363394"/>
        </a:xfrm>
      </xdr:grpSpPr>
      <xdr:sp macro="" textlink="">
        <xdr:nvSpPr>
          <xdr:cNvPr id="80" name="Rectangle: Diagonal Corners Rounded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/>
        </xdr:nvSpPr>
        <xdr:spPr>
          <a:xfrm>
            <a:off x="18533519" y="784150"/>
            <a:ext cx="7071731" cy="2156660"/>
          </a:xfrm>
          <a:prstGeom prst="round2DiagRect">
            <a:avLst>
              <a:gd name="adj1" fmla="val 0"/>
              <a:gd name="adj2" fmla="val 11785"/>
            </a:avLst>
          </a:prstGeom>
          <a:solidFill>
            <a:srgbClr val="6966E0">
              <a:alpha val="50000"/>
            </a:srgbClr>
          </a:solidFill>
          <a:ln w="285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2" name="Picture 71">
            <a:extLst>
              <a:ext uri="{FF2B5EF4-FFF2-40B4-BE49-F238E27FC236}">
                <a16:creationId xmlns:a16="http://schemas.microsoft.com/office/drawing/2014/main" id="{00000000-0008-0000-0800-00004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899968" y="964004"/>
            <a:ext cx="6323738" cy="175789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800-00004F000000}"/>
              </a:ext>
            </a:extLst>
          </xdr:cNvPr>
          <xdr:cNvSpPr txBox="1"/>
        </xdr:nvSpPr>
        <xdr:spPr>
          <a:xfrm>
            <a:off x="18815834" y="577416"/>
            <a:ext cx="6333016" cy="611706"/>
          </a:xfrm>
          <a:custGeom>
            <a:avLst/>
            <a:gdLst>
              <a:gd name="connsiteX0" fmla="*/ 0 w 4424303"/>
              <a:gd name="connsiteY0" fmla="*/ 0 h 515229"/>
              <a:gd name="connsiteX1" fmla="*/ 4424303 w 4424303"/>
              <a:gd name="connsiteY1" fmla="*/ 0 h 515229"/>
              <a:gd name="connsiteX2" fmla="*/ 4424303 w 4424303"/>
              <a:gd name="connsiteY2" fmla="*/ 515229 h 515229"/>
              <a:gd name="connsiteX3" fmla="*/ 0 w 4424303"/>
              <a:gd name="connsiteY3" fmla="*/ 515229 h 515229"/>
              <a:gd name="connsiteX4" fmla="*/ 0 w 4424303"/>
              <a:gd name="connsiteY4" fmla="*/ 0 h 515229"/>
              <a:gd name="connsiteX0" fmla="*/ 0 w 4471928"/>
              <a:gd name="connsiteY0" fmla="*/ 0 h 648579"/>
              <a:gd name="connsiteX1" fmla="*/ 4471928 w 4471928"/>
              <a:gd name="connsiteY1" fmla="*/ 133350 h 648579"/>
              <a:gd name="connsiteX2" fmla="*/ 4471928 w 4471928"/>
              <a:gd name="connsiteY2" fmla="*/ 648579 h 648579"/>
              <a:gd name="connsiteX3" fmla="*/ 47625 w 4471928"/>
              <a:gd name="connsiteY3" fmla="*/ 648579 h 648579"/>
              <a:gd name="connsiteX4" fmla="*/ 0 w 4471928"/>
              <a:gd name="connsiteY4" fmla="*/ 0 h 648579"/>
              <a:gd name="connsiteX0" fmla="*/ 0 w 4471928"/>
              <a:gd name="connsiteY0" fmla="*/ 0 h 905754"/>
              <a:gd name="connsiteX1" fmla="*/ 4471928 w 4471928"/>
              <a:gd name="connsiteY1" fmla="*/ 133350 h 905754"/>
              <a:gd name="connsiteX2" fmla="*/ 4471928 w 4471928"/>
              <a:gd name="connsiteY2" fmla="*/ 648579 h 905754"/>
              <a:gd name="connsiteX3" fmla="*/ 19050 w 4471928"/>
              <a:gd name="connsiteY3" fmla="*/ 905754 h 905754"/>
              <a:gd name="connsiteX4" fmla="*/ 0 w 4471928"/>
              <a:gd name="connsiteY4" fmla="*/ 0 h 905754"/>
              <a:gd name="connsiteX0" fmla="*/ 0 w 4471928"/>
              <a:gd name="connsiteY0" fmla="*/ 0 h 867654"/>
              <a:gd name="connsiteX1" fmla="*/ 4471928 w 4471928"/>
              <a:gd name="connsiteY1" fmla="*/ 133350 h 867654"/>
              <a:gd name="connsiteX2" fmla="*/ 4471928 w 4471928"/>
              <a:gd name="connsiteY2" fmla="*/ 648579 h 867654"/>
              <a:gd name="connsiteX3" fmla="*/ 0 w 4471928"/>
              <a:gd name="connsiteY3" fmla="*/ 867654 h 867654"/>
              <a:gd name="connsiteX4" fmla="*/ 0 w 4471928"/>
              <a:gd name="connsiteY4" fmla="*/ 0 h 867654"/>
              <a:gd name="connsiteX0" fmla="*/ 38100 w 4510028"/>
              <a:gd name="connsiteY0" fmla="*/ 0 h 989248"/>
              <a:gd name="connsiteX1" fmla="*/ 4510028 w 4510028"/>
              <a:gd name="connsiteY1" fmla="*/ 133350 h 989248"/>
              <a:gd name="connsiteX2" fmla="*/ 4510028 w 4510028"/>
              <a:gd name="connsiteY2" fmla="*/ 648579 h 989248"/>
              <a:gd name="connsiteX3" fmla="*/ 0 w 4510028"/>
              <a:gd name="connsiteY3" fmla="*/ 989248 h 989248"/>
              <a:gd name="connsiteX4" fmla="*/ 38100 w 4510028"/>
              <a:gd name="connsiteY4" fmla="*/ 0 h 989248"/>
              <a:gd name="connsiteX0" fmla="*/ 0 w 4471928"/>
              <a:gd name="connsiteY0" fmla="*/ 0 h 1016269"/>
              <a:gd name="connsiteX1" fmla="*/ 4471928 w 4471928"/>
              <a:gd name="connsiteY1" fmla="*/ 133350 h 1016269"/>
              <a:gd name="connsiteX2" fmla="*/ 4471928 w 4471928"/>
              <a:gd name="connsiteY2" fmla="*/ 648579 h 1016269"/>
              <a:gd name="connsiteX3" fmla="*/ 38100 w 4471928"/>
              <a:gd name="connsiteY3" fmla="*/ 1016269 h 1016269"/>
              <a:gd name="connsiteX4" fmla="*/ 0 w 4471928"/>
              <a:gd name="connsiteY4" fmla="*/ 0 h 10162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471928" h="1016269">
                <a:moveTo>
                  <a:pt x="0" y="0"/>
                </a:moveTo>
                <a:lnTo>
                  <a:pt x="4471928" y="133350"/>
                </a:lnTo>
                <a:lnTo>
                  <a:pt x="4471928" y="648579"/>
                </a:lnTo>
                <a:lnTo>
                  <a:pt x="38100" y="1016269"/>
                </a:lnTo>
                <a:lnTo>
                  <a:pt x="0" y="0"/>
                </a:lnTo>
                <a:close/>
              </a:path>
            </a:pathLst>
          </a:custGeom>
          <a:noFill/>
          <a:ln w="9525" cmpd="sng">
            <a:noFill/>
          </a:ln>
          <a:effectLst>
            <a:outerShdw blurRad="50800" dist="50800" dir="5400000" sx="1000" sy="1000" algn="ctr" rotWithShape="0">
              <a:srgbClr val="000000"/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t">
            <a:spAutoFit/>
          </a:bodyPr>
          <a:lstStyle/>
          <a:p>
            <a:r>
              <a:rPr lang="en-US" sz="2800" b="1">
                <a:solidFill>
                  <a:schemeClr val="bg1"/>
                </a:solidFill>
                <a:effectLst>
                  <a:outerShdw blurRad="50800" dist="38100" algn="l" rotWithShape="0">
                    <a:prstClr val="black">
                      <a:alpha val="40000"/>
                    </a:prstClr>
                  </a:outerShdw>
                </a:effectLst>
                <a:latin typeface="Biome" panose="020B0503030204020804" pitchFamily="34" charset="0"/>
                <a:cs typeface="Biome" panose="020B0503030204020804" pitchFamily="34" charset="0"/>
              </a:rPr>
              <a:t>Heat Map:</a:t>
            </a:r>
            <a:r>
              <a:rPr lang="en-US" sz="2800" b="1" baseline="0">
                <a:solidFill>
                  <a:schemeClr val="bg1"/>
                </a:solidFill>
                <a:effectLst>
                  <a:outerShdw blurRad="50800" dist="38100" algn="l" rotWithShape="0">
                    <a:prstClr val="black">
                      <a:alpha val="40000"/>
                    </a:prstClr>
                  </a:outerShdw>
                </a:effectLst>
                <a:latin typeface="Biome" panose="020B0503030204020804" pitchFamily="34" charset="0"/>
                <a:cs typeface="Biome" panose="020B0503030204020804" pitchFamily="34" charset="0"/>
              </a:rPr>
              <a:t> </a:t>
            </a:r>
            <a:r>
              <a:rPr lang="en-US" sz="3200" b="1" baseline="0">
                <a:solidFill>
                  <a:schemeClr val="bg1"/>
                </a:solidFill>
                <a:effectLst>
                  <a:outerShdw blurRad="50800" dist="38100" algn="l" rotWithShape="0">
                    <a:prstClr val="black">
                      <a:alpha val="40000"/>
                    </a:prstClr>
                  </a:outerShdw>
                </a:effectLst>
                <a:latin typeface="Biome" panose="020B0503030204020804" pitchFamily="34" charset="0"/>
                <a:cs typeface="Biome" panose="020B0503030204020804" pitchFamily="34" charset="0"/>
              </a:rPr>
              <a:t>Synthetic vs Natural</a:t>
            </a:r>
            <a:endParaRPr lang="en-US" sz="32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endParaRPr>
          </a:p>
        </xdr:txBody>
      </xdr:sp>
    </xdr:grpSp>
    <xdr:clientData/>
  </xdr:twoCellAnchor>
  <xdr:twoCellAnchor>
    <xdr:from>
      <xdr:col>9</xdr:col>
      <xdr:colOff>531585</xdr:colOff>
      <xdr:row>68</xdr:row>
      <xdr:rowOff>79947</xdr:rowOff>
    </xdr:from>
    <xdr:to>
      <xdr:col>27</xdr:col>
      <xdr:colOff>94242</xdr:colOff>
      <xdr:row>84</xdr:row>
      <xdr:rowOff>19050</xdr:rowOff>
    </xdr:to>
    <xdr:sp macro="" textlink="">
      <xdr:nvSpPr>
        <xdr:cNvPr id="83" name="Rectangle: Diagonal Corners Rounded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>
        <a:xfrm>
          <a:off x="8189685" y="17472597"/>
          <a:ext cx="10421157" cy="3653853"/>
        </a:xfrm>
        <a:prstGeom prst="round2DiagRect">
          <a:avLst>
            <a:gd name="adj1" fmla="val 10357"/>
            <a:gd name="adj2" fmla="val 0"/>
          </a:avLst>
        </a:prstGeom>
        <a:solidFill>
          <a:srgbClr val="6966E0">
            <a:alpha val="50000"/>
          </a:srgbClr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579489</xdr:colOff>
      <xdr:row>66</xdr:row>
      <xdr:rowOff>197353</xdr:rowOff>
    </xdr:from>
    <xdr:to>
      <xdr:col>31</xdr:col>
      <xdr:colOff>485599</xdr:colOff>
      <xdr:row>70</xdr:row>
      <xdr:rowOff>166979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 txBox="1"/>
      </xdr:nvSpPr>
      <xdr:spPr>
        <a:xfrm>
          <a:off x="11895189" y="17094703"/>
          <a:ext cx="9545410" cy="960226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noAutofit/>
        </a:bodyPr>
        <a:lstStyle/>
        <a:p>
          <a:r>
            <a:rPr lang="en-US" sz="28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Heat Map:</a:t>
          </a:r>
          <a:r>
            <a:rPr lang="en-US" sz="28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</a:t>
          </a:r>
          <a:r>
            <a:rPr lang="en-US" sz="32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Natural vs Rapaport</a:t>
          </a:r>
          <a:endParaRPr lang="en-US" sz="32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10</xdr:col>
      <xdr:colOff>413834</xdr:colOff>
      <xdr:row>69</xdr:row>
      <xdr:rowOff>132038</xdr:rowOff>
    </xdr:from>
    <xdr:to>
      <xdr:col>26</xdr:col>
      <xdr:colOff>209104</xdr:colOff>
      <xdr:row>82</xdr:row>
      <xdr:rowOff>76200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1534" y="17772338"/>
          <a:ext cx="9434570" cy="2954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579120</xdr:colOff>
          <xdr:row>2</xdr:row>
          <xdr:rowOff>144780</xdr:rowOff>
        </xdr:from>
        <xdr:to>
          <xdr:col>7</xdr:col>
          <xdr:colOff>45720</xdr:colOff>
          <xdr:row>2</xdr:row>
          <xdr:rowOff>403860</xdr:rowOff>
        </xdr:to>
        <xdr:sp macro="" textlink="">
          <xdr:nvSpPr>
            <xdr:cNvPr id="17413" name="Option 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2</xdr:row>
          <xdr:rowOff>144780</xdr:rowOff>
        </xdr:from>
        <xdr:to>
          <xdr:col>7</xdr:col>
          <xdr:colOff>762000</xdr:colOff>
          <xdr:row>2</xdr:row>
          <xdr:rowOff>403860</xdr:rowOff>
        </xdr:to>
        <xdr:sp macro="" textlink="">
          <xdr:nvSpPr>
            <xdr:cNvPr id="17414" name="Option 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OP2</a:t>
              </a:r>
            </a:p>
          </xdr:txBody>
        </xdr:sp>
        <xdr:clientData/>
      </xdr:twoCellAnchor>
    </mc:Choice>
    <mc:Fallback/>
  </mc:AlternateContent>
  <xdr:twoCellAnchor>
    <xdr:from>
      <xdr:col>29</xdr:col>
      <xdr:colOff>220216</xdr:colOff>
      <xdr:row>1</xdr:row>
      <xdr:rowOff>247756</xdr:rowOff>
    </xdr:from>
    <xdr:to>
      <xdr:col>40</xdr:col>
      <xdr:colOff>254000</xdr:colOff>
      <xdr:row>17</xdr:row>
      <xdr:rowOff>125716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28</xdr:col>
      <xdr:colOff>372340</xdr:colOff>
      <xdr:row>19</xdr:row>
      <xdr:rowOff>38100</xdr:rowOff>
    </xdr:from>
    <xdr:to>
      <xdr:col>40</xdr:col>
      <xdr:colOff>241300</xdr:colOff>
      <xdr:row>38</xdr:row>
      <xdr:rowOff>304800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247650</xdr:colOff>
      <xdr:row>41</xdr:row>
      <xdr:rowOff>35442</xdr:rowOff>
    </xdr:from>
    <xdr:to>
      <xdr:col>40</xdr:col>
      <xdr:colOff>368300</xdr:colOff>
      <xdr:row>59</xdr:row>
      <xdr:rowOff>234950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196849</xdr:colOff>
      <xdr:row>63</xdr:row>
      <xdr:rowOff>114299</xdr:rowOff>
    </xdr:from>
    <xdr:to>
      <xdr:col>40</xdr:col>
      <xdr:colOff>389658</xdr:colOff>
      <xdr:row>82</xdr:row>
      <xdr:rowOff>86590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42</xdr:col>
      <xdr:colOff>359698</xdr:colOff>
      <xdr:row>0</xdr:row>
      <xdr:rowOff>0</xdr:rowOff>
    </xdr:from>
    <xdr:to>
      <xdr:col>55</xdr:col>
      <xdr:colOff>213360</xdr:colOff>
      <xdr:row>87</xdr:row>
      <xdr:rowOff>109105</xdr:rowOff>
    </xdr:to>
    <xdr:sp macro="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>
        <a:xfrm>
          <a:off x="28020298" y="0"/>
          <a:ext cx="7778462" cy="21483205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1">
                <a:lumMod val="40000"/>
                <a:lumOff val="60000"/>
                <a:alpha val="0"/>
              </a:schemeClr>
            </a:gs>
            <a:gs pos="46000">
              <a:schemeClr val="accent1">
                <a:lumMod val="95000"/>
                <a:lumOff val="5000"/>
                <a:alpha val="62000"/>
              </a:schemeClr>
            </a:gs>
            <a:gs pos="94000">
              <a:srgbClr val="6967B1">
                <a:alpha val="43000"/>
              </a:srgbClr>
            </a:gs>
          </a:gsLst>
          <a:path path="circle">
            <a:fillToRect l="50000" t="130000" r="50000" b="-3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335280</xdr:colOff>
      <xdr:row>1</xdr:row>
      <xdr:rowOff>57150</xdr:rowOff>
    </xdr:from>
    <xdr:to>
      <xdr:col>54</xdr:col>
      <xdr:colOff>91440</xdr:colOff>
      <xdr:row>19</xdr:row>
      <xdr:rowOff>45720</xdr:rowOff>
    </xdr:to>
    <xdr:sp macro="" textlink="">
      <xdr:nvSpPr>
        <xdr:cNvPr id="110" name="Rectangle: Rounded Corners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SpPr/>
      </xdr:nvSpPr>
      <xdr:spPr>
        <a:xfrm>
          <a:off x="27386280" y="285750"/>
          <a:ext cx="7680960" cy="4789170"/>
        </a:xfrm>
        <a:prstGeom prst="roundRect">
          <a:avLst/>
        </a:prstGeom>
        <a:solidFill>
          <a:srgbClr val="6967B1">
            <a:alpha val="65000"/>
          </a:srgbClr>
        </a:solidFill>
        <a:ln>
          <a:noFill/>
        </a:ln>
        <a:effectLst>
          <a:outerShdw blurRad="50800" dist="25400" dir="2700000" algn="tl" rotWithShape="0">
            <a:prstClr val="black">
              <a:alpha val="2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43</xdr:col>
      <xdr:colOff>17780</xdr:colOff>
      <xdr:row>2</xdr:row>
      <xdr:rowOff>16243</xdr:rowOff>
    </xdr:from>
    <xdr:ext cx="4848009" cy="611706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 txBox="1"/>
      </xdr:nvSpPr>
      <xdr:spPr>
        <a:xfrm>
          <a:off x="27388820" y="519163"/>
          <a:ext cx="4848009" cy="611706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Covariance Calculation</a:t>
          </a:r>
        </a:p>
      </xdr:txBody>
    </xdr:sp>
    <xdr:clientData/>
  </xdr:oneCellAnchor>
  <xdr:twoCellAnchor>
    <xdr:from>
      <xdr:col>49</xdr:col>
      <xdr:colOff>335280</xdr:colOff>
      <xdr:row>4</xdr:row>
      <xdr:rowOff>25400</xdr:rowOff>
    </xdr:from>
    <xdr:to>
      <xdr:col>53</xdr:col>
      <xdr:colOff>525780</xdr:colOff>
      <xdr:row>7</xdr:row>
      <xdr:rowOff>106680</xdr:rowOff>
    </xdr:to>
    <xdr:sp macro="" textlink="'Q5 Covarriance'!B19">
      <xdr:nvSpPr>
        <xdr:cNvPr id="96" name="TextBox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 txBox="1"/>
      </xdr:nvSpPr>
      <xdr:spPr>
        <a:xfrm>
          <a:off x="31363920" y="1229360"/>
          <a:ext cx="2628900" cy="629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201E5F6-91E2-4F5F-A372-D28A58E50576}" type="TxLink">
            <a:rPr lang="en-US" sz="2800" b="0" i="0" u="none" strike="noStrike">
              <a:solidFill>
                <a:srgbClr val="FFFF0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-2,274.6957</a:t>
          </a:fld>
          <a:endParaRPr lang="en-US" sz="2800" b="0" i="0" u="none" strike="noStrike">
            <a:solidFill>
              <a:srgbClr val="FFFF0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49</xdr:col>
      <xdr:colOff>323185</xdr:colOff>
      <xdr:row>7</xdr:row>
      <xdr:rowOff>155666</xdr:rowOff>
    </xdr:from>
    <xdr:to>
      <xdr:col>53</xdr:col>
      <xdr:colOff>495905</xdr:colOff>
      <xdr:row>10</xdr:row>
      <xdr:rowOff>142966</xdr:rowOff>
    </xdr:to>
    <xdr:sp macro="" textlink="'Q5 Covarriance'!K19">
      <xdr:nvSpPr>
        <xdr:cNvPr id="97" name="TextBox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 txBox="1"/>
      </xdr:nvSpPr>
      <xdr:spPr>
        <a:xfrm>
          <a:off x="32133661" y="2175571"/>
          <a:ext cx="2591768" cy="7130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2E296C3-7FE5-456F-A288-B469BDF6615C}" type="TxLink">
            <a:rPr lang="en-US" sz="2800" b="0" i="0" u="none" strike="noStrike">
              <a:solidFill>
                <a:srgbClr val="FFFF0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-1,230.6268</a:t>
          </a:fld>
          <a:endParaRPr lang="en-US" sz="2800" b="0" i="0" u="none" strike="noStrike">
            <a:solidFill>
              <a:srgbClr val="FFFF0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49</xdr:col>
      <xdr:colOff>347980</xdr:colOff>
      <xdr:row>11</xdr:row>
      <xdr:rowOff>50800</xdr:rowOff>
    </xdr:from>
    <xdr:to>
      <xdr:col>53</xdr:col>
      <xdr:colOff>373380</xdr:colOff>
      <xdr:row>14</xdr:row>
      <xdr:rowOff>38100</xdr:rowOff>
    </xdr:to>
    <xdr:sp macro="" textlink="'Q5 Covarriance'!B41">
      <xdr:nvSpPr>
        <xdr:cNvPr id="98" name="TextBox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 txBox="1"/>
      </xdr:nvSpPr>
      <xdr:spPr>
        <a:xfrm>
          <a:off x="31376620" y="2534920"/>
          <a:ext cx="2463800" cy="53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A726287-FF99-4925-A4C6-9AF703BD1AFC}" type="TxLink">
            <a:rPr lang="en-US" sz="2800" b="0" i="0" u="none" strike="noStrike">
              <a:solidFill>
                <a:srgbClr val="92D05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-2,266.2402</a:t>
          </a:fld>
          <a:endParaRPr lang="en-US" sz="2800" b="0" i="0" u="none" strike="noStrike">
            <a:solidFill>
              <a:srgbClr val="92D05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49</xdr:col>
      <xdr:colOff>373380</xdr:colOff>
      <xdr:row>15</xdr:row>
      <xdr:rowOff>0</xdr:rowOff>
    </xdr:from>
    <xdr:to>
      <xdr:col>53</xdr:col>
      <xdr:colOff>360680</xdr:colOff>
      <xdr:row>17</xdr:row>
      <xdr:rowOff>157480</xdr:rowOff>
    </xdr:to>
    <xdr:sp macro="" textlink="'Q5 Covarriance'!K41">
      <xdr:nvSpPr>
        <xdr:cNvPr id="99" name="TextBox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 txBox="1"/>
      </xdr:nvSpPr>
      <xdr:spPr>
        <a:xfrm>
          <a:off x="31402020" y="3215640"/>
          <a:ext cx="2425700" cy="5232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4A2E8CB-AA8D-48D1-82E8-B20DB8D57629}" type="TxLink">
            <a:rPr lang="en-US" sz="2800" b="0" i="0" u="none" strike="noStrike">
              <a:solidFill>
                <a:srgbClr val="92D05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-985.6781</a:t>
          </a:fld>
          <a:endParaRPr lang="en-US" sz="2800" b="0" i="0" u="none" strike="noStrike">
            <a:solidFill>
              <a:srgbClr val="92D05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oneCellAnchor>
    <xdr:from>
      <xdr:col>42</xdr:col>
      <xdr:colOff>170180</xdr:colOff>
      <xdr:row>4</xdr:row>
      <xdr:rowOff>120383</xdr:rowOff>
    </xdr:from>
    <xdr:ext cx="4305299" cy="416974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 txBox="1"/>
      </xdr:nvSpPr>
      <xdr:spPr>
        <a:xfrm>
          <a:off x="26931620" y="1324343"/>
          <a:ext cx="4305299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X1</a:t>
          </a:r>
          <a:r>
            <a:rPr lang="en-US" sz="20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= Color, Y = Price/Ct, Natural</a:t>
          </a:r>
          <a:endParaRPr lang="en-US" sz="20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oneCellAnchor>
    <xdr:from>
      <xdr:col>42</xdr:col>
      <xdr:colOff>144504</xdr:colOff>
      <xdr:row>8</xdr:row>
      <xdr:rowOff>13703</xdr:rowOff>
    </xdr:from>
    <xdr:ext cx="4305299" cy="416974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 txBox="1"/>
      </xdr:nvSpPr>
      <xdr:spPr>
        <a:xfrm>
          <a:off x="26905944" y="1949183"/>
          <a:ext cx="4305299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X2</a:t>
          </a:r>
          <a:r>
            <a:rPr lang="en-US" sz="20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= Clarity, Y = Price/Ct, Natural</a:t>
          </a:r>
          <a:endParaRPr lang="en-US" sz="20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oneCellAnchor>
    <xdr:from>
      <xdr:col>42</xdr:col>
      <xdr:colOff>157480</xdr:colOff>
      <xdr:row>11</xdr:row>
      <xdr:rowOff>145783</xdr:rowOff>
    </xdr:from>
    <xdr:ext cx="4432300" cy="416974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SpPr txBox="1"/>
      </xdr:nvSpPr>
      <xdr:spPr>
        <a:xfrm>
          <a:off x="26918920" y="2629903"/>
          <a:ext cx="443230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X1</a:t>
          </a:r>
          <a:r>
            <a:rPr lang="en-US" sz="20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= Color, Y = Price/Ct, Synthetic</a:t>
          </a:r>
          <a:endParaRPr lang="en-US" sz="20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oneCellAnchor>
    <xdr:from>
      <xdr:col>42</xdr:col>
      <xdr:colOff>157480</xdr:colOff>
      <xdr:row>15</xdr:row>
      <xdr:rowOff>64503</xdr:rowOff>
    </xdr:from>
    <xdr:ext cx="4648200" cy="416974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SpPr txBox="1"/>
      </xdr:nvSpPr>
      <xdr:spPr>
        <a:xfrm>
          <a:off x="26918920" y="3280143"/>
          <a:ext cx="464820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X2</a:t>
          </a:r>
          <a:r>
            <a:rPr lang="en-US" sz="2000" b="1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= Clarity, Y = Price/Ct, Synthetic</a:t>
          </a:r>
          <a:endParaRPr lang="en-US" sz="2000" b="1"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twoCellAnchor>
    <xdr:from>
      <xdr:col>42</xdr:col>
      <xdr:colOff>441960</xdr:colOff>
      <xdr:row>2</xdr:row>
      <xdr:rowOff>15240</xdr:rowOff>
    </xdr:from>
    <xdr:to>
      <xdr:col>51</xdr:col>
      <xdr:colOff>152400</xdr:colOff>
      <xdr:row>3</xdr:row>
      <xdr:rowOff>121920</xdr:rowOff>
    </xdr:to>
    <xdr:sp macro="" textlink="">
      <xdr:nvSpPr>
        <xdr:cNvPr id="111" name="Oval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SpPr/>
      </xdr:nvSpPr>
      <xdr:spPr>
        <a:xfrm>
          <a:off x="27203400" y="518160"/>
          <a:ext cx="5196840" cy="624840"/>
        </a:xfrm>
        <a:prstGeom prst="ellips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182880</xdr:colOff>
      <xdr:row>2</xdr:row>
      <xdr:rowOff>106680</xdr:rowOff>
    </xdr:from>
    <xdr:to>
      <xdr:col>52</xdr:col>
      <xdr:colOff>60960</xdr:colOff>
      <xdr:row>4</xdr:row>
      <xdr:rowOff>15240</xdr:rowOff>
    </xdr:to>
    <xdr:sp macro="" textlink="">
      <xdr:nvSpPr>
        <xdr:cNvPr id="112" name="Star: 4 Points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SpPr/>
      </xdr:nvSpPr>
      <xdr:spPr>
        <a:xfrm>
          <a:off x="32430720" y="609600"/>
          <a:ext cx="487680" cy="609600"/>
        </a:xfrm>
        <a:prstGeom prst="star4">
          <a:avLst/>
        </a:prstGeom>
        <a:solidFill>
          <a:sysClr val="window" lastClr="FFFFFF">
            <a:alpha val="43000"/>
          </a:sys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579121</xdr:colOff>
      <xdr:row>2</xdr:row>
      <xdr:rowOff>15240</xdr:rowOff>
    </xdr:from>
    <xdr:to>
      <xdr:col>51</xdr:col>
      <xdr:colOff>350521</xdr:colOff>
      <xdr:row>2</xdr:row>
      <xdr:rowOff>487680</xdr:rowOff>
    </xdr:to>
    <xdr:sp macro="" textlink="">
      <xdr:nvSpPr>
        <xdr:cNvPr id="113" name="Star: 4 Points 112">
          <a:extLst>
            <a:ext uri="{FF2B5EF4-FFF2-40B4-BE49-F238E27FC236}">
              <a16:creationId xmlns:a16="http://schemas.microsoft.com/office/drawing/2014/main" id="{00000000-0008-0000-0800-000071000000}"/>
            </a:ext>
          </a:extLst>
        </xdr:cNvPr>
        <xdr:cNvSpPr/>
      </xdr:nvSpPr>
      <xdr:spPr>
        <a:xfrm rot="540000">
          <a:off x="32217361" y="518160"/>
          <a:ext cx="381000" cy="472440"/>
        </a:xfrm>
        <a:prstGeom prst="star4">
          <a:avLst/>
        </a:prstGeom>
        <a:solidFill>
          <a:sysClr val="window" lastClr="FFFFFF">
            <a:alpha val="80000"/>
          </a:sys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324138</xdr:colOff>
      <xdr:row>21</xdr:row>
      <xdr:rowOff>146050</xdr:rowOff>
    </xdr:from>
    <xdr:to>
      <xdr:col>54</xdr:col>
      <xdr:colOff>80298</xdr:colOff>
      <xdr:row>83</xdr:row>
      <xdr:rowOff>152400</xdr:rowOff>
    </xdr:to>
    <xdr:sp macro="" textlink="">
      <xdr:nvSpPr>
        <xdr:cNvPr id="117" name="Rectangle: Rounded Corners 116">
          <a:extLst>
            <a:ext uri="{FF2B5EF4-FFF2-40B4-BE49-F238E27FC236}">
              <a16:creationId xmlns:a16="http://schemas.microsoft.com/office/drawing/2014/main" id="{00000000-0008-0000-0800-000075000000}"/>
            </a:ext>
          </a:extLst>
        </xdr:cNvPr>
        <xdr:cNvSpPr/>
      </xdr:nvSpPr>
      <xdr:spPr>
        <a:xfrm>
          <a:off x="27375138" y="5670550"/>
          <a:ext cx="7680960" cy="15360650"/>
        </a:xfrm>
        <a:prstGeom prst="roundRect">
          <a:avLst/>
        </a:prstGeom>
        <a:solidFill>
          <a:srgbClr val="6967B1">
            <a:alpha val="65000"/>
          </a:srgbClr>
        </a:solidFill>
        <a:ln>
          <a:noFill/>
        </a:ln>
        <a:effectLst>
          <a:outerShdw blurRad="50800" dist="25400" dir="2700000" algn="tl" rotWithShape="0">
            <a:prstClr val="black">
              <a:alpha val="2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438439</xdr:colOff>
      <xdr:row>22</xdr:row>
      <xdr:rowOff>158483</xdr:rowOff>
    </xdr:from>
    <xdr:ext cx="4006562" cy="611706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00000000-0008-0000-0800-000076000000}"/>
            </a:ext>
          </a:extLst>
        </xdr:cNvPr>
        <xdr:cNvSpPr txBox="1"/>
      </xdr:nvSpPr>
      <xdr:spPr>
        <a:xfrm>
          <a:off x="29318239" y="5930633"/>
          <a:ext cx="4006562" cy="611706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32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Interval Estimate</a:t>
          </a:r>
        </a:p>
      </xdr:txBody>
    </xdr:sp>
    <xdr:clientData/>
  </xdr:oneCellAnchor>
  <xdr:twoCellAnchor>
    <xdr:from>
      <xdr:col>42</xdr:col>
      <xdr:colOff>393700</xdr:colOff>
      <xdr:row>1</xdr:row>
      <xdr:rowOff>276860</xdr:rowOff>
    </xdr:from>
    <xdr:to>
      <xdr:col>51</xdr:col>
      <xdr:colOff>104140</xdr:colOff>
      <xdr:row>3</xdr:row>
      <xdr:rowOff>66040</xdr:rowOff>
    </xdr:to>
    <xdr:sp macro="" textlink="">
      <xdr:nvSpPr>
        <xdr:cNvPr id="119" name="Oval 118">
          <a:extLst>
            <a:ext uri="{FF2B5EF4-FFF2-40B4-BE49-F238E27FC236}">
              <a16:creationId xmlns:a16="http://schemas.microsoft.com/office/drawing/2014/main" id="{00000000-0008-0000-0800-000077000000}"/>
            </a:ext>
          </a:extLst>
        </xdr:cNvPr>
        <xdr:cNvSpPr/>
      </xdr:nvSpPr>
      <xdr:spPr>
        <a:xfrm>
          <a:off x="28054300" y="505460"/>
          <a:ext cx="5196840" cy="614680"/>
        </a:xfrm>
        <a:prstGeom prst="ellipse">
          <a:avLst/>
        </a:prstGeom>
        <a:noFill/>
        <a:ln>
          <a:solidFill>
            <a:schemeClr val="bg1">
              <a:lumMod val="85000"/>
              <a:alpha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139700</xdr:colOff>
      <xdr:row>23</xdr:row>
      <xdr:rowOff>66040</xdr:rowOff>
    </xdr:from>
    <xdr:to>
      <xdr:col>50</xdr:col>
      <xdr:colOff>444500</xdr:colOff>
      <xdr:row>26</xdr:row>
      <xdr:rowOff>13970</xdr:rowOff>
    </xdr:to>
    <xdr:sp macro="" textlink="">
      <xdr:nvSpPr>
        <xdr:cNvPr id="120" name="Oval 119">
          <a:extLst>
            <a:ext uri="{FF2B5EF4-FFF2-40B4-BE49-F238E27FC236}">
              <a16:creationId xmlns:a16="http://schemas.microsoft.com/office/drawing/2014/main" id="{00000000-0008-0000-0800-000078000000}"/>
            </a:ext>
          </a:extLst>
        </xdr:cNvPr>
        <xdr:cNvSpPr/>
      </xdr:nvSpPr>
      <xdr:spPr>
        <a:xfrm>
          <a:off x="29629100" y="6085840"/>
          <a:ext cx="3352800" cy="633730"/>
        </a:xfrm>
        <a:prstGeom prst="ellipse">
          <a:avLst/>
        </a:prstGeom>
        <a:noFill/>
        <a:ln>
          <a:solidFill>
            <a:schemeClr val="bg1">
              <a:lumMod val="85000"/>
              <a:alpha val="39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463550</xdr:colOff>
      <xdr:row>22</xdr:row>
      <xdr:rowOff>173990</xdr:rowOff>
    </xdr:from>
    <xdr:to>
      <xdr:col>51</xdr:col>
      <xdr:colOff>6350</xdr:colOff>
      <xdr:row>25</xdr:row>
      <xdr:rowOff>64770</xdr:rowOff>
    </xdr:to>
    <xdr:sp macro="" textlink="">
      <xdr:nvSpPr>
        <xdr:cNvPr id="121" name="Oval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/>
      </xdr:nvSpPr>
      <xdr:spPr>
        <a:xfrm>
          <a:off x="29343350" y="5946140"/>
          <a:ext cx="3810000" cy="633730"/>
        </a:xfrm>
        <a:prstGeom prst="ellipse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119212</xdr:colOff>
      <xdr:row>23</xdr:row>
      <xdr:rowOff>8237</xdr:rowOff>
    </xdr:from>
    <xdr:to>
      <xdr:col>45</xdr:col>
      <xdr:colOff>59248</xdr:colOff>
      <xdr:row>24</xdr:row>
      <xdr:rowOff>204887</xdr:rowOff>
    </xdr:to>
    <xdr:sp macro="" textlink="">
      <xdr:nvSpPr>
        <xdr:cNvPr id="122" name="Star: 4 Points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SpPr/>
      </xdr:nvSpPr>
      <xdr:spPr>
        <a:xfrm rot="21430350">
          <a:off x="28999012" y="6028037"/>
          <a:ext cx="549636" cy="444300"/>
        </a:xfrm>
        <a:prstGeom prst="star4">
          <a:avLst/>
        </a:prstGeom>
        <a:solidFill>
          <a:sysClr val="window" lastClr="FFFFFF">
            <a:alpha val="43000"/>
          </a:sys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437224</xdr:colOff>
      <xdr:row>22</xdr:row>
      <xdr:rowOff>152792</xdr:rowOff>
    </xdr:from>
    <xdr:to>
      <xdr:col>51</xdr:col>
      <xdr:colOff>253209</xdr:colOff>
      <xdr:row>24</xdr:row>
      <xdr:rowOff>142168</xdr:rowOff>
    </xdr:to>
    <xdr:sp macro="" textlink="">
      <xdr:nvSpPr>
        <xdr:cNvPr id="123" name="Star: 4 Points 122">
          <a:extLst>
            <a:ext uri="{FF2B5EF4-FFF2-40B4-BE49-F238E27FC236}">
              <a16:creationId xmlns:a16="http://schemas.microsoft.com/office/drawing/2014/main" id="{00000000-0008-0000-0800-00007B000000}"/>
            </a:ext>
          </a:extLst>
        </xdr:cNvPr>
        <xdr:cNvSpPr/>
      </xdr:nvSpPr>
      <xdr:spPr>
        <a:xfrm rot="450682">
          <a:off x="32974624" y="5924942"/>
          <a:ext cx="425585" cy="484676"/>
        </a:xfrm>
        <a:prstGeom prst="star4">
          <a:avLst/>
        </a:prstGeom>
        <a:solidFill>
          <a:sysClr val="window" lastClr="FFFFFF">
            <a:alpha val="43000"/>
          </a:sys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42</xdr:col>
      <xdr:colOff>333587</xdr:colOff>
      <xdr:row>27</xdr:row>
      <xdr:rowOff>163201</xdr:rowOff>
    </xdr:from>
    <xdr:ext cx="6282508" cy="416974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00000000-0008-0000-0800-00007D000000}"/>
            </a:ext>
          </a:extLst>
        </xdr:cNvPr>
        <xdr:cNvSpPr txBox="1"/>
      </xdr:nvSpPr>
      <xdr:spPr>
        <a:xfrm>
          <a:off x="27994187" y="7116451"/>
          <a:ext cx="6282508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rgbClr val="FFFF0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Natural Diamond, 1.00 -</a:t>
          </a:r>
          <a:r>
            <a:rPr lang="en-US" sz="2000" b="1" baseline="0">
              <a:solidFill>
                <a:srgbClr val="FFFF0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1.49 Ct, D Color, VVS1</a:t>
          </a:r>
          <a:endParaRPr lang="en-US" sz="2000" b="1">
            <a:solidFill>
              <a:srgbClr val="FFFF00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twoCellAnchor editAs="oneCell">
    <xdr:from>
      <xdr:col>42</xdr:col>
      <xdr:colOff>413429</xdr:colOff>
      <xdr:row>29</xdr:row>
      <xdr:rowOff>215841</xdr:rowOff>
    </xdr:from>
    <xdr:to>
      <xdr:col>50</xdr:col>
      <xdr:colOff>151763</xdr:colOff>
      <xdr:row>52</xdr:row>
      <xdr:rowOff>117</xdr:rowOff>
    </xdr:to>
    <xdr:pic>
      <xdr:nvPicPr>
        <xdr:cNvPr id="17417" name="Picture 17416">
          <a:extLst>
            <a:ext uri="{FF2B5EF4-FFF2-40B4-BE49-F238E27FC236}">
              <a16:creationId xmlns:a16="http://schemas.microsoft.com/office/drawing/2014/main" id="{00000000-0008-0000-0800-000009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clrChange>
            <a:clrFrom>
              <a:srgbClr val="6967B1"/>
            </a:clrFrom>
            <a:clrTo>
              <a:srgbClr val="6967B1">
                <a:alpha val="0"/>
              </a:srgbClr>
            </a:clrTo>
          </a:clrChange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45429" y="7676353"/>
          <a:ext cx="4558428" cy="5756821"/>
        </a:xfrm>
        <a:prstGeom prst="rect">
          <a:avLst/>
        </a:prstGeom>
        <a:noFill/>
        <a:effectLst>
          <a:outerShdw blurRad="50800" dist="50800" dir="5400000" sx="1000" sy="1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50</xdr:col>
      <xdr:colOff>457200</xdr:colOff>
      <xdr:row>37</xdr:row>
      <xdr:rowOff>60960</xdr:rowOff>
    </xdr:from>
    <xdr:to>
      <xdr:col>53</xdr:col>
      <xdr:colOff>548640</xdr:colOff>
      <xdr:row>38</xdr:row>
      <xdr:rowOff>472440</xdr:rowOff>
    </xdr:to>
    <xdr:sp macro="" textlink="'Q6 Interval Estimate'!F20">
      <xdr:nvSpPr>
        <xdr:cNvPr id="17418" name="TextBox 17417">
          <a:extLst>
            <a:ext uri="{FF2B5EF4-FFF2-40B4-BE49-F238E27FC236}">
              <a16:creationId xmlns:a16="http://schemas.microsoft.com/office/drawing/2014/main" id="{00000000-0008-0000-0800-00000A440000}"/>
            </a:ext>
          </a:extLst>
        </xdr:cNvPr>
        <xdr:cNvSpPr txBox="1"/>
      </xdr:nvSpPr>
      <xdr:spPr>
        <a:xfrm>
          <a:off x="33055560" y="9372600"/>
          <a:ext cx="1920240" cy="640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6BC9345-1CCF-4992-B390-83404B7F4178}" type="TxLink">
            <a:rPr lang="en-US" sz="2800" b="0" i="0" u="none" strike="noStrike">
              <a:solidFill>
                <a:srgbClr val="FFFF0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8,287.32 </a:t>
          </a:fld>
          <a:endParaRPr lang="en-US" sz="2800" b="0" i="0" u="none" strike="noStrike">
            <a:solidFill>
              <a:srgbClr val="FFFF0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50</xdr:col>
      <xdr:colOff>472440</xdr:colOff>
      <xdr:row>40</xdr:row>
      <xdr:rowOff>60960</xdr:rowOff>
    </xdr:from>
    <xdr:to>
      <xdr:col>53</xdr:col>
      <xdr:colOff>594360</xdr:colOff>
      <xdr:row>42</xdr:row>
      <xdr:rowOff>198120</xdr:rowOff>
    </xdr:to>
    <xdr:sp macro="" textlink="'Q6 Interval Estimate'!F21">
      <xdr:nvSpPr>
        <xdr:cNvPr id="17419" name="TextBox 17418">
          <a:extLst>
            <a:ext uri="{FF2B5EF4-FFF2-40B4-BE49-F238E27FC236}">
              <a16:creationId xmlns:a16="http://schemas.microsoft.com/office/drawing/2014/main" id="{00000000-0008-0000-0800-00000B440000}"/>
            </a:ext>
          </a:extLst>
        </xdr:cNvPr>
        <xdr:cNvSpPr txBox="1"/>
      </xdr:nvSpPr>
      <xdr:spPr>
        <a:xfrm>
          <a:off x="33070800" y="10408920"/>
          <a:ext cx="1950720" cy="624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26417C70-5789-4786-8CF3-CC01A00805E0}" type="TxLink">
            <a:rPr lang="en-US" sz="2800" b="0" i="0" u="none" strike="noStrike">
              <a:solidFill>
                <a:srgbClr val="FFFF0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9,645.09 </a:t>
          </a:fld>
          <a:endParaRPr lang="en-US" sz="2800" b="0" i="0" u="none" strike="noStrike">
            <a:solidFill>
              <a:srgbClr val="FFFF0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oneCellAnchor>
    <xdr:from>
      <xdr:col>51</xdr:col>
      <xdr:colOff>50800</xdr:colOff>
      <xdr:row>36</xdr:row>
      <xdr:rowOff>18782</xdr:rowOff>
    </xdr:from>
    <xdr:ext cx="1823720" cy="416974"/>
    <xdr:sp macro="" textlink="">
      <xdr:nvSpPr>
        <xdr:cNvPr id="17421" name="TextBox 17420">
          <a:extLst>
            <a:ext uri="{FF2B5EF4-FFF2-40B4-BE49-F238E27FC236}">
              <a16:creationId xmlns:a16="http://schemas.microsoft.com/office/drawing/2014/main" id="{00000000-0008-0000-0800-00000D440000}"/>
            </a:ext>
          </a:extLst>
        </xdr:cNvPr>
        <xdr:cNvSpPr txBox="1"/>
      </xdr:nvSpPr>
      <xdr:spPr>
        <a:xfrm>
          <a:off x="33258760" y="9086582"/>
          <a:ext cx="182372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Lower limit</a:t>
          </a:r>
        </a:p>
      </xdr:txBody>
    </xdr:sp>
    <xdr:clientData/>
  </xdr:oneCellAnchor>
  <xdr:oneCellAnchor>
    <xdr:from>
      <xdr:col>51</xdr:col>
      <xdr:colOff>96520</xdr:colOff>
      <xdr:row>39</xdr:row>
      <xdr:rowOff>18782</xdr:rowOff>
    </xdr:from>
    <xdr:ext cx="1823720" cy="416974"/>
    <xdr:sp macro="" textlink="">
      <xdr:nvSpPr>
        <xdr:cNvPr id="17422" name="TextBox 17421">
          <a:extLst>
            <a:ext uri="{FF2B5EF4-FFF2-40B4-BE49-F238E27FC236}">
              <a16:creationId xmlns:a16="http://schemas.microsoft.com/office/drawing/2014/main" id="{00000000-0008-0000-0800-00000E440000}"/>
            </a:ext>
          </a:extLst>
        </xdr:cNvPr>
        <xdr:cNvSpPr txBox="1"/>
      </xdr:nvSpPr>
      <xdr:spPr>
        <a:xfrm>
          <a:off x="33304480" y="10122902"/>
          <a:ext cx="182372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Upper limit</a:t>
          </a:r>
        </a:p>
      </xdr:txBody>
    </xdr:sp>
    <xdr:clientData/>
  </xdr:oneCellAnchor>
  <xdr:oneCellAnchor>
    <xdr:from>
      <xdr:col>52</xdr:col>
      <xdr:colOff>142240</xdr:colOff>
      <xdr:row>32</xdr:row>
      <xdr:rowOff>34022</xdr:rowOff>
    </xdr:from>
    <xdr:ext cx="1046480" cy="416974"/>
    <xdr:sp macro="" textlink="">
      <xdr:nvSpPr>
        <xdr:cNvPr id="17423" name="TextBox 17422">
          <a:extLst>
            <a:ext uri="{FF2B5EF4-FFF2-40B4-BE49-F238E27FC236}">
              <a16:creationId xmlns:a16="http://schemas.microsoft.com/office/drawing/2014/main" id="{00000000-0008-0000-0800-00000F440000}"/>
            </a:ext>
          </a:extLst>
        </xdr:cNvPr>
        <xdr:cNvSpPr txBox="1"/>
      </xdr:nvSpPr>
      <xdr:spPr>
        <a:xfrm>
          <a:off x="33959800" y="8126462"/>
          <a:ext cx="104648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Mean</a:t>
          </a:r>
        </a:p>
      </xdr:txBody>
    </xdr:sp>
    <xdr:clientData/>
  </xdr:oneCellAnchor>
  <xdr:twoCellAnchor>
    <xdr:from>
      <xdr:col>50</xdr:col>
      <xdr:colOff>521970</xdr:colOff>
      <xdr:row>33</xdr:row>
      <xdr:rowOff>82127</xdr:rowOff>
    </xdr:from>
    <xdr:to>
      <xdr:col>53</xdr:col>
      <xdr:colOff>605790</xdr:colOff>
      <xdr:row>35</xdr:row>
      <xdr:rowOff>234527</xdr:rowOff>
    </xdr:to>
    <xdr:sp macro="" textlink="$BG$36">
      <xdr:nvSpPr>
        <xdr:cNvPr id="17424" name="TextBox 17423">
          <a:extLst>
            <a:ext uri="{FF2B5EF4-FFF2-40B4-BE49-F238E27FC236}">
              <a16:creationId xmlns:a16="http://schemas.microsoft.com/office/drawing/2014/main" id="{00000000-0008-0000-0800-000010440000}"/>
            </a:ext>
          </a:extLst>
        </xdr:cNvPr>
        <xdr:cNvSpPr txBox="1"/>
      </xdr:nvSpPr>
      <xdr:spPr>
        <a:xfrm>
          <a:off x="33213887" y="8390044"/>
          <a:ext cx="1925320" cy="6392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BFF10D5-AEA2-4043-B32B-7530E100539E}" type="TxLink">
            <a:rPr lang="en-US" sz="2800" b="0" i="0" u="none" strike="noStrike">
              <a:solidFill>
                <a:srgbClr val="FFFF0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8,966.21 </a:t>
          </a:fld>
          <a:endParaRPr lang="en-US" sz="2800" b="0" i="0" u="none" strike="noStrike">
            <a:solidFill>
              <a:srgbClr val="FFFF0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 editAs="oneCell">
    <xdr:from>
      <xdr:col>42</xdr:col>
      <xdr:colOff>375329</xdr:colOff>
      <xdr:row>56</xdr:row>
      <xdr:rowOff>236220</xdr:rowOff>
    </xdr:from>
    <xdr:to>
      <xdr:col>50</xdr:col>
      <xdr:colOff>194929</xdr:colOff>
      <xdr:row>81</xdr:row>
      <xdr:rowOff>98198</xdr:rowOff>
    </xdr:to>
    <xdr:pic>
      <xdr:nvPicPr>
        <xdr:cNvPr id="17428" name="Picture 17427">
          <a:extLst>
            <a:ext uri="{FF2B5EF4-FFF2-40B4-BE49-F238E27FC236}">
              <a16:creationId xmlns:a16="http://schemas.microsoft.com/office/drawing/2014/main" id="{00000000-0008-0000-0800-000014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clrChange>
            <a:clrFrom>
              <a:srgbClr val="6967B1"/>
            </a:clrFrom>
            <a:clrTo>
              <a:srgbClr val="6967B1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07329" y="14678778"/>
          <a:ext cx="4639694" cy="588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42</xdr:col>
      <xdr:colOff>295850</xdr:colOff>
      <xdr:row>54</xdr:row>
      <xdr:rowOff>132781</xdr:rowOff>
    </xdr:from>
    <xdr:ext cx="6653590" cy="416974"/>
    <xdr:sp macro="" textlink="">
      <xdr:nvSpPr>
        <xdr:cNvPr id="17429" name="TextBox 17428">
          <a:extLst>
            <a:ext uri="{FF2B5EF4-FFF2-40B4-BE49-F238E27FC236}">
              <a16:creationId xmlns:a16="http://schemas.microsoft.com/office/drawing/2014/main" id="{00000000-0008-0000-0800-000015440000}"/>
            </a:ext>
          </a:extLst>
        </xdr:cNvPr>
        <xdr:cNvSpPr txBox="1"/>
      </xdr:nvSpPr>
      <xdr:spPr>
        <a:xfrm>
          <a:off x="27956450" y="14058331"/>
          <a:ext cx="665359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rgbClr val="92D05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Lab-grown</a:t>
          </a:r>
          <a:r>
            <a:rPr lang="en-US" sz="2000" b="1" baseline="0">
              <a:solidFill>
                <a:srgbClr val="92D05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</a:t>
          </a:r>
          <a:r>
            <a:rPr lang="en-US" sz="2000" b="1">
              <a:solidFill>
                <a:srgbClr val="92D05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Diamond, 1.00 -</a:t>
          </a:r>
          <a:r>
            <a:rPr lang="en-US" sz="2000" b="1" baseline="0">
              <a:solidFill>
                <a:srgbClr val="92D05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 1.49 Ct, D Color, VVS1</a:t>
          </a:r>
          <a:endParaRPr lang="en-US" sz="2000" b="1">
            <a:solidFill>
              <a:srgbClr val="92D050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oneCellAnchor>
  <xdr:twoCellAnchor>
    <xdr:from>
      <xdr:col>50</xdr:col>
      <xdr:colOff>457200</xdr:colOff>
      <xdr:row>65</xdr:row>
      <xdr:rowOff>62230</xdr:rowOff>
    </xdr:from>
    <xdr:to>
      <xdr:col>53</xdr:col>
      <xdr:colOff>548640</xdr:colOff>
      <xdr:row>67</xdr:row>
      <xdr:rowOff>229870</xdr:rowOff>
    </xdr:to>
    <xdr:sp macro="" textlink="'Q6 Interval Estimate'!N20">
      <xdr:nvSpPr>
        <xdr:cNvPr id="17430" name="TextBox 17429">
          <a:extLst>
            <a:ext uri="{FF2B5EF4-FFF2-40B4-BE49-F238E27FC236}">
              <a16:creationId xmlns:a16="http://schemas.microsoft.com/office/drawing/2014/main" id="{00000000-0008-0000-0800-000016440000}"/>
            </a:ext>
          </a:extLst>
        </xdr:cNvPr>
        <xdr:cNvSpPr txBox="1"/>
      </xdr:nvSpPr>
      <xdr:spPr>
        <a:xfrm>
          <a:off x="33149117" y="16466397"/>
          <a:ext cx="1932940" cy="6544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AE13B19-8E45-4815-A72E-06ACBA1939C2}" type="TxLink">
            <a:rPr lang="en-US" sz="2800" b="0" i="0" u="none" strike="noStrike">
              <a:solidFill>
                <a:srgbClr val="92D05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2,513.25 </a:t>
          </a:fld>
          <a:endParaRPr lang="en-US" sz="2800" b="0" i="0" u="none" strike="noStrike">
            <a:solidFill>
              <a:srgbClr val="92D05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twoCellAnchor>
    <xdr:from>
      <xdr:col>50</xdr:col>
      <xdr:colOff>472440</xdr:colOff>
      <xdr:row>69</xdr:row>
      <xdr:rowOff>159597</xdr:rowOff>
    </xdr:from>
    <xdr:to>
      <xdr:col>53</xdr:col>
      <xdr:colOff>594360</xdr:colOff>
      <xdr:row>72</xdr:row>
      <xdr:rowOff>68157</xdr:rowOff>
    </xdr:to>
    <xdr:sp macro="" textlink="'Q6 Interval Estimate'!N21">
      <xdr:nvSpPr>
        <xdr:cNvPr id="17431" name="TextBox 17430">
          <a:extLst>
            <a:ext uri="{FF2B5EF4-FFF2-40B4-BE49-F238E27FC236}">
              <a16:creationId xmlns:a16="http://schemas.microsoft.com/office/drawing/2014/main" id="{00000000-0008-0000-0800-000017440000}"/>
            </a:ext>
          </a:extLst>
        </xdr:cNvPr>
        <xdr:cNvSpPr txBox="1"/>
      </xdr:nvSpPr>
      <xdr:spPr>
        <a:xfrm>
          <a:off x="33164357" y="17537430"/>
          <a:ext cx="1963420" cy="6282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F1482388-C349-4493-8AE6-5839BBC84D94}" type="TxLink">
            <a:rPr lang="en-US" sz="2800" b="0" i="0" u="none" strike="noStrike">
              <a:solidFill>
                <a:srgbClr val="92D05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2,962.20 </a:t>
          </a:fld>
          <a:endParaRPr lang="en-US" sz="2800" b="0" i="0" u="none" strike="noStrike">
            <a:solidFill>
              <a:srgbClr val="92D05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  <xdr:oneCellAnchor>
    <xdr:from>
      <xdr:col>51</xdr:col>
      <xdr:colOff>50800</xdr:colOff>
      <xdr:row>63</xdr:row>
      <xdr:rowOff>232142</xdr:rowOff>
    </xdr:from>
    <xdr:ext cx="1823720" cy="416974"/>
    <xdr:sp macro="" textlink="">
      <xdr:nvSpPr>
        <xdr:cNvPr id="17432" name="TextBox 17431">
          <a:extLst>
            <a:ext uri="{FF2B5EF4-FFF2-40B4-BE49-F238E27FC236}">
              <a16:creationId xmlns:a16="http://schemas.microsoft.com/office/drawing/2014/main" id="{00000000-0008-0000-0800-000018440000}"/>
            </a:ext>
          </a:extLst>
        </xdr:cNvPr>
        <xdr:cNvSpPr txBox="1"/>
      </xdr:nvSpPr>
      <xdr:spPr>
        <a:xfrm>
          <a:off x="33258760" y="16203662"/>
          <a:ext cx="182372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Lower limit</a:t>
          </a:r>
        </a:p>
      </xdr:txBody>
    </xdr:sp>
    <xdr:clientData/>
  </xdr:oneCellAnchor>
  <xdr:oneCellAnchor>
    <xdr:from>
      <xdr:col>51</xdr:col>
      <xdr:colOff>96520</xdr:colOff>
      <xdr:row>68</xdr:row>
      <xdr:rowOff>64502</xdr:rowOff>
    </xdr:from>
    <xdr:ext cx="1823720" cy="416974"/>
    <xdr:sp macro="" textlink="">
      <xdr:nvSpPr>
        <xdr:cNvPr id="17433" name="TextBox 17432">
          <a:extLst>
            <a:ext uri="{FF2B5EF4-FFF2-40B4-BE49-F238E27FC236}">
              <a16:creationId xmlns:a16="http://schemas.microsoft.com/office/drawing/2014/main" id="{00000000-0008-0000-0800-000019440000}"/>
            </a:ext>
          </a:extLst>
        </xdr:cNvPr>
        <xdr:cNvSpPr txBox="1"/>
      </xdr:nvSpPr>
      <xdr:spPr>
        <a:xfrm>
          <a:off x="33304480" y="17255222"/>
          <a:ext cx="182372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Upper limit</a:t>
          </a:r>
        </a:p>
      </xdr:txBody>
    </xdr:sp>
    <xdr:clientData/>
  </xdr:oneCellAnchor>
  <xdr:oneCellAnchor>
    <xdr:from>
      <xdr:col>52</xdr:col>
      <xdr:colOff>142240</xdr:colOff>
      <xdr:row>60</xdr:row>
      <xdr:rowOff>3542</xdr:rowOff>
    </xdr:from>
    <xdr:ext cx="1046480" cy="416974"/>
    <xdr:sp macro="" textlink="">
      <xdr:nvSpPr>
        <xdr:cNvPr id="17434" name="TextBox 17433">
          <a:extLst>
            <a:ext uri="{FF2B5EF4-FFF2-40B4-BE49-F238E27FC236}">
              <a16:creationId xmlns:a16="http://schemas.microsoft.com/office/drawing/2014/main" id="{00000000-0008-0000-0800-00001A440000}"/>
            </a:ext>
          </a:extLst>
        </xdr:cNvPr>
        <xdr:cNvSpPr txBox="1"/>
      </xdr:nvSpPr>
      <xdr:spPr>
        <a:xfrm>
          <a:off x="33959800" y="15243542"/>
          <a:ext cx="1046480" cy="416974"/>
        </a:xfrm>
        <a:custGeom>
          <a:avLst/>
          <a:gdLst>
            <a:gd name="connsiteX0" fmla="*/ 0 w 4424303"/>
            <a:gd name="connsiteY0" fmla="*/ 0 h 515229"/>
            <a:gd name="connsiteX1" fmla="*/ 4424303 w 4424303"/>
            <a:gd name="connsiteY1" fmla="*/ 0 h 515229"/>
            <a:gd name="connsiteX2" fmla="*/ 4424303 w 4424303"/>
            <a:gd name="connsiteY2" fmla="*/ 515229 h 515229"/>
            <a:gd name="connsiteX3" fmla="*/ 0 w 4424303"/>
            <a:gd name="connsiteY3" fmla="*/ 515229 h 515229"/>
            <a:gd name="connsiteX4" fmla="*/ 0 w 4424303"/>
            <a:gd name="connsiteY4" fmla="*/ 0 h 515229"/>
            <a:gd name="connsiteX0" fmla="*/ 0 w 4471928"/>
            <a:gd name="connsiteY0" fmla="*/ 0 h 648579"/>
            <a:gd name="connsiteX1" fmla="*/ 4471928 w 4471928"/>
            <a:gd name="connsiteY1" fmla="*/ 133350 h 648579"/>
            <a:gd name="connsiteX2" fmla="*/ 4471928 w 4471928"/>
            <a:gd name="connsiteY2" fmla="*/ 648579 h 648579"/>
            <a:gd name="connsiteX3" fmla="*/ 47625 w 4471928"/>
            <a:gd name="connsiteY3" fmla="*/ 648579 h 648579"/>
            <a:gd name="connsiteX4" fmla="*/ 0 w 4471928"/>
            <a:gd name="connsiteY4" fmla="*/ 0 h 648579"/>
            <a:gd name="connsiteX0" fmla="*/ 0 w 4471928"/>
            <a:gd name="connsiteY0" fmla="*/ 0 h 905754"/>
            <a:gd name="connsiteX1" fmla="*/ 4471928 w 4471928"/>
            <a:gd name="connsiteY1" fmla="*/ 133350 h 905754"/>
            <a:gd name="connsiteX2" fmla="*/ 4471928 w 4471928"/>
            <a:gd name="connsiteY2" fmla="*/ 648579 h 905754"/>
            <a:gd name="connsiteX3" fmla="*/ 19050 w 4471928"/>
            <a:gd name="connsiteY3" fmla="*/ 905754 h 905754"/>
            <a:gd name="connsiteX4" fmla="*/ 0 w 4471928"/>
            <a:gd name="connsiteY4" fmla="*/ 0 h 905754"/>
            <a:gd name="connsiteX0" fmla="*/ 0 w 4471928"/>
            <a:gd name="connsiteY0" fmla="*/ 0 h 867654"/>
            <a:gd name="connsiteX1" fmla="*/ 4471928 w 4471928"/>
            <a:gd name="connsiteY1" fmla="*/ 133350 h 867654"/>
            <a:gd name="connsiteX2" fmla="*/ 4471928 w 4471928"/>
            <a:gd name="connsiteY2" fmla="*/ 648579 h 867654"/>
            <a:gd name="connsiteX3" fmla="*/ 0 w 4471928"/>
            <a:gd name="connsiteY3" fmla="*/ 867654 h 867654"/>
            <a:gd name="connsiteX4" fmla="*/ 0 w 4471928"/>
            <a:gd name="connsiteY4" fmla="*/ 0 h 867654"/>
            <a:gd name="connsiteX0" fmla="*/ 38100 w 4510028"/>
            <a:gd name="connsiteY0" fmla="*/ 0 h 989248"/>
            <a:gd name="connsiteX1" fmla="*/ 4510028 w 4510028"/>
            <a:gd name="connsiteY1" fmla="*/ 133350 h 989248"/>
            <a:gd name="connsiteX2" fmla="*/ 4510028 w 4510028"/>
            <a:gd name="connsiteY2" fmla="*/ 648579 h 989248"/>
            <a:gd name="connsiteX3" fmla="*/ 0 w 4510028"/>
            <a:gd name="connsiteY3" fmla="*/ 989248 h 989248"/>
            <a:gd name="connsiteX4" fmla="*/ 38100 w 4510028"/>
            <a:gd name="connsiteY4" fmla="*/ 0 h 989248"/>
            <a:gd name="connsiteX0" fmla="*/ 0 w 4471928"/>
            <a:gd name="connsiteY0" fmla="*/ 0 h 1016269"/>
            <a:gd name="connsiteX1" fmla="*/ 4471928 w 4471928"/>
            <a:gd name="connsiteY1" fmla="*/ 133350 h 1016269"/>
            <a:gd name="connsiteX2" fmla="*/ 4471928 w 4471928"/>
            <a:gd name="connsiteY2" fmla="*/ 648579 h 1016269"/>
            <a:gd name="connsiteX3" fmla="*/ 38100 w 4471928"/>
            <a:gd name="connsiteY3" fmla="*/ 1016269 h 1016269"/>
            <a:gd name="connsiteX4" fmla="*/ 0 w 4471928"/>
            <a:gd name="connsiteY4" fmla="*/ 0 h 10162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471928" h="1016269">
              <a:moveTo>
                <a:pt x="0" y="0"/>
              </a:moveTo>
              <a:lnTo>
                <a:pt x="4471928" y="133350"/>
              </a:lnTo>
              <a:lnTo>
                <a:pt x="4471928" y="648579"/>
              </a:lnTo>
              <a:lnTo>
                <a:pt x="38100" y="1016269"/>
              </a:lnTo>
              <a:lnTo>
                <a:pt x="0" y="0"/>
              </a:lnTo>
              <a:close/>
            </a:path>
          </a:pathLst>
        </a:custGeom>
        <a:noFill/>
        <a:ln w="9525" cmpd="sng">
          <a:noFill/>
        </a:ln>
        <a:effectLst>
          <a:outerShdw blurRad="50800" dist="50800" dir="5400000" sx="1000" sy="1000" algn="ctr" rotWithShape="0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r>
            <a:rPr lang="en-US" sz="2000" b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Biome" panose="020B0503030204020804" pitchFamily="34" charset="0"/>
              <a:cs typeface="Biome" panose="020B0503030204020804" pitchFamily="34" charset="0"/>
            </a:rPr>
            <a:t>Mean</a:t>
          </a:r>
        </a:p>
      </xdr:txBody>
    </xdr:sp>
    <xdr:clientData/>
  </xdr:oneCellAnchor>
  <xdr:twoCellAnchor>
    <xdr:from>
      <xdr:col>50</xdr:col>
      <xdr:colOff>447887</xdr:colOff>
      <xdr:row>61</xdr:row>
      <xdr:rowOff>51647</xdr:rowOff>
    </xdr:from>
    <xdr:to>
      <xdr:col>53</xdr:col>
      <xdr:colOff>539327</xdr:colOff>
      <xdr:row>63</xdr:row>
      <xdr:rowOff>204047</xdr:rowOff>
    </xdr:to>
    <xdr:sp macro="" textlink="$BG$72">
      <xdr:nvSpPr>
        <xdr:cNvPr id="17435" name="TextBox 17434">
          <a:extLst>
            <a:ext uri="{FF2B5EF4-FFF2-40B4-BE49-F238E27FC236}">
              <a16:creationId xmlns:a16="http://schemas.microsoft.com/office/drawing/2014/main" id="{00000000-0008-0000-0800-00001B440000}"/>
            </a:ext>
          </a:extLst>
        </xdr:cNvPr>
        <xdr:cNvSpPr txBox="1"/>
      </xdr:nvSpPr>
      <xdr:spPr>
        <a:xfrm>
          <a:off x="33139804" y="15482147"/>
          <a:ext cx="1932940" cy="6392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5F5DA945-329A-4BC3-B822-34C706870FA2}" type="TxLink">
            <a:rPr lang="en-US" sz="2800" b="0" i="0" u="none" strike="noStrike">
              <a:solidFill>
                <a:srgbClr val="92D050"/>
              </a:solidFill>
              <a:latin typeface="Biome" panose="020B0503030204020804" pitchFamily="34" charset="0"/>
              <a:ea typeface="Calibri"/>
              <a:cs typeface="Biome" panose="020B0503030204020804" pitchFamily="34" charset="0"/>
            </a:rPr>
            <a:pPr marL="0" indent="0"/>
            <a:t> 2,737.73 </a:t>
          </a:fld>
          <a:endParaRPr lang="en-US" sz="2800" b="0" i="0" u="none" strike="noStrike">
            <a:solidFill>
              <a:srgbClr val="92D050"/>
            </a:solidFill>
            <a:latin typeface="Biome" panose="020B0503030204020804" pitchFamily="34" charset="0"/>
            <a:ea typeface="Calibri"/>
            <a:cs typeface="Biome" panose="020B05030302040208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hta\Downloads\Diamond%20Data_Combined%201%20(1)%20(1).xlsx" TargetMode="External"/><Relationship Id="rId1" Type="http://schemas.openxmlformats.org/officeDocument/2006/relationships/externalLinkPath" Target="file:///C:\Users\anhta\Downloads\Diamond%20Data_Combined%201%20(1)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atural Diamond Data"/>
      <sheetName val="Lab-Grown Diamond Data"/>
      <sheetName val="Data Summary"/>
      <sheetName val="Q3"/>
      <sheetName val="Q4"/>
      <sheetName val="Q4_2"/>
      <sheetName val="Q4_3"/>
      <sheetName val="Q5"/>
    </sheetNames>
    <sheetDataSet>
      <sheetData sheetId="0">
        <row r="4">
          <cell r="F4">
            <v>2069.31</v>
          </cell>
          <cell r="N4"/>
        </row>
        <row r="5">
          <cell r="F5">
            <v>2246.5300000000002</v>
          </cell>
          <cell r="N5">
            <v>1679.21</v>
          </cell>
        </row>
        <row r="6">
          <cell r="F6">
            <v>3130</v>
          </cell>
          <cell r="N6">
            <v>1814</v>
          </cell>
        </row>
        <row r="7">
          <cell r="F7">
            <v>3297</v>
          </cell>
          <cell r="N7">
            <v>1902.97</v>
          </cell>
        </row>
        <row r="8">
          <cell r="F8">
            <v>3669.61</v>
          </cell>
          <cell r="N8">
            <v>3465</v>
          </cell>
        </row>
        <row r="9">
          <cell r="F9">
            <v>3822</v>
          </cell>
          <cell r="N9">
            <v>3308.41</v>
          </cell>
        </row>
        <row r="10">
          <cell r="F10">
            <v>5119.42</v>
          </cell>
          <cell r="N10">
            <v>3579.21</v>
          </cell>
        </row>
        <row r="11">
          <cell r="F11">
            <v>5269.31</v>
          </cell>
          <cell r="N11">
            <v>5337.25</v>
          </cell>
        </row>
        <row r="12">
          <cell r="F12">
            <v>5368</v>
          </cell>
          <cell r="N12">
            <v>4874</v>
          </cell>
        </row>
        <row r="13">
          <cell r="F13">
            <v>6514.85</v>
          </cell>
          <cell r="N13">
            <v>5206</v>
          </cell>
        </row>
        <row r="14">
          <cell r="F14">
            <v>6581</v>
          </cell>
          <cell r="N14">
            <v>4874.26</v>
          </cell>
        </row>
        <row r="15">
          <cell r="F15">
            <v>6448.54</v>
          </cell>
          <cell r="N15">
            <v>4959</v>
          </cell>
        </row>
        <row r="16">
          <cell r="F16">
            <v>6113</v>
          </cell>
          <cell r="N16">
            <v>5198.0200000000004</v>
          </cell>
        </row>
        <row r="17">
          <cell r="F17">
            <v>6056.44</v>
          </cell>
          <cell r="N17">
            <v>6168.32</v>
          </cell>
        </row>
        <row r="18">
          <cell r="F18">
            <v>6317.82</v>
          </cell>
          <cell r="N18">
            <v>6312.87</v>
          </cell>
        </row>
        <row r="19">
          <cell r="F19">
            <v>6173</v>
          </cell>
          <cell r="N19">
            <v>6601.98</v>
          </cell>
        </row>
        <row r="20">
          <cell r="F20">
            <v>6424.75</v>
          </cell>
          <cell r="N20">
            <v>6336</v>
          </cell>
        </row>
        <row r="21">
          <cell r="F21">
            <v>6472.28</v>
          </cell>
          <cell r="N21">
            <v>6447.52</v>
          </cell>
        </row>
        <row r="22">
          <cell r="F22">
            <v>6677</v>
          </cell>
          <cell r="N22">
            <v>6525.74</v>
          </cell>
        </row>
        <row r="23">
          <cell r="F23">
            <v>6861.32</v>
          </cell>
          <cell r="N23">
            <v>6101.98</v>
          </cell>
        </row>
        <row r="24">
          <cell r="F24">
            <v>8225</v>
          </cell>
          <cell r="N24">
            <v>6402.83</v>
          </cell>
        </row>
        <row r="29">
          <cell r="F29">
            <v>1850</v>
          </cell>
          <cell r="N29">
            <v>1439.6</v>
          </cell>
        </row>
        <row r="30">
          <cell r="F30">
            <v>1833.66</v>
          </cell>
          <cell r="N30">
            <v>1814.85</v>
          </cell>
        </row>
        <row r="31">
          <cell r="F31">
            <v>1904.95</v>
          </cell>
          <cell r="N31">
            <v>2008.91</v>
          </cell>
        </row>
        <row r="32">
          <cell r="F32">
            <v>4250.5</v>
          </cell>
          <cell r="N32">
            <v>2878.64</v>
          </cell>
        </row>
        <row r="33">
          <cell r="F33">
            <v>3646</v>
          </cell>
          <cell r="N33">
            <v>3158.42</v>
          </cell>
        </row>
        <row r="34">
          <cell r="F34">
            <v>3711</v>
          </cell>
          <cell r="N34">
            <v>3165.35</v>
          </cell>
        </row>
        <row r="35">
          <cell r="F35">
            <v>4725.74</v>
          </cell>
          <cell r="N35">
            <v>4747.5200000000004</v>
          </cell>
        </row>
        <row r="36">
          <cell r="F36">
            <v>4895.05</v>
          </cell>
          <cell r="N36">
            <v>4681.55</v>
          </cell>
        </row>
        <row r="37">
          <cell r="F37">
            <v>5023.76</v>
          </cell>
          <cell r="N37">
            <v>4866.34</v>
          </cell>
        </row>
        <row r="38">
          <cell r="F38">
            <v>4593.33</v>
          </cell>
          <cell r="N38">
            <v>4392.08</v>
          </cell>
        </row>
        <row r="39">
          <cell r="F39">
            <v>4829</v>
          </cell>
          <cell r="N39">
            <v>4393.07</v>
          </cell>
        </row>
        <row r="40">
          <cell r="F40">
            <v>4800</v>
          </cell>
          <cell r="N40">
            <v>4593.07</v>
          </cell>
        </row>
        <row r="41">
          <cell r="F41">
            <v>5506.93</v>
          </cell>
          <cell r="N41">
            <v>4568.32</v>
          </cell>
        </row>
        <row r="42">
          <cell r="F42">
            <v>6020</v>
          </cell>
          <cell r="N42">
            <v>4829.13</v>
          </cell>
        </row>
        <row r="43">
          <cell r="F43">
            <v>6482.18</v>
          </cell>
          <cell r="N43">
            <v>5251.49</v>
          </cell>
        </row>
        <row r="44">
          <cell r="F44">
            <v>5988.12</v>
          </cell>
          <cell r="N44">
            <v>5042.0600000000004</v>
          </cell>
        </row>
        <row r="45">
          <cell r="F45">
            <v>6059.41</v>
          </cell>
          <cell r="N45">
            <v>4531.07</v>
          </cell>
        </row>
        <row r="46">
          <cell r="F46">
            <v>6177.23</v>
          </cell>
          <cell r="N46">
            <v>4924</v>
          </cell>
        </row>
        <row r="47">
          <cell r="F47">
            <v>7246.73</v>
          </cell>
          <cell r="N47">
            <v>7188.8</v>
          </cell>
        </row>
        <row r="48">
          <cell r="F48">
            <v>7150.5</v>
          </cell>
          <cell r="N48">
            <v>5950.5</v>
          </cell>
        </row>
        <row r="49">
          <cell r="F49">
            <v>7202.94</v>
          </cell>
          <cell r="N49">
            <v>6266.34</v>
          </cell>
        </row>
        <row r="54">
          <cell r="F54">
            <v>3340</v>
          </cell>
          <cell r="N54">
            <v>3210</v>
          </cell>
        </row>
        <row r="55">
          <cell r="F55">
            <v>3620</v>
          </cell>
          <cell r="N55">
            <v>3550</v>
          </cell>
        </row>
        <row r="56">
          <cell r="F56">
            <v>2160</v>
          </cell>
          <cell r="N56">
            <v>3160</v>
          </cell>
        </row>
        <row r="57">
          <cell r="F57">
            <v>3740</v>
          </cell>
          <cell r="N57">
            <v>4090</v>
          </cell>
        </row>
        <row r="58">
          <cell r="F58">
            <v>3410</v>
          </cell>
          <cell r="N58">
            <v>3512</v>
          </cell>
        </row>
        <row r="59">
          <cell r="F59">
            <v>4420</v>
          </cell>
          <cell r="N59">
            <v>3650</v>
          </cell>
        </row>
        <row r="60">
          <cell r="F60">
            <v>5680</v>
          </cell>
          <cell r="N60">
            <v>4235.7723577235774</v>
          </cell>
        </row>
        <row r="61">
          <cell r="F61">
            <v>5089.1089108910892</v>
          </cell>
          <cell r="N61">
            <v>4150</v>
          </cell>
        </row>
        <row r="62">
          <cell r="F62">
            <v>4910</v>
          </cell>
          <cell r="N62">
            <v>4690</v>
          </cell>
        </row>
        <row r="63">
          <cell r="F63">
            <v>4435.6435643564355</v>
          </cell>
          <cell r="N63">
            <v>3103</v>
          </cell>
        </row>
        <row r="64">
          <cell r="F64">
            <v>6240</v>
          </cell>
          <cell r="N64">
            <v>3069.3069306930693</v>
          </cell>
        </row>
        <row r="65">
          <cell r="F65">
            <v>6733.3333333333339</v>
          </cell>
          <cell r="N65">
            <v>3379</v>
          </cell>
        </row>
        <row r="66">
          <cell r="F66">
            <v>6481.7518248175174</v>
          </cell>
          <cell r="N66">
            <v>4470.588235294118</v>
          </cell>
        </row>
        <row r="67">
          <cell r="F67">
            <v>5970.2970297029706</v>
          </cell>
          <cell r="N67">
            <v>4710</v>
          </cell>
        </row>
        <row r="68">
          <cell r="F68">
            <v>6462.9629629629626</v>
          </cell>
          <cell r="N68">
            <v>3243.5643564356437</v>
          </cell>
        </row>
        <row r="69">
          <cell r="F69">
            <v>6907.1428571428578</v>
          </cell>
          <cell r="N69">
            <v>6426.2295081967213</v>
          </cell>
        </row>
        <row r="70">
          <cell r="F70">
            <v>7546.875</v>
          </cell>
          <cell r="N70">
            <v>5277.227722772277</v>
          </cell>
        </row>
        <row r="71">
          <cell r="F71">
            <v>6675</v>
          </cell>
          <cell r="N71">
            <v>3307.9207920792078</v>
          </cell>
        </row>
        <row r="72">
          <cell r="F72">
            <v>5144.5544554455446</v>
          </cell>
          <cell r="N72">
            <v>6342.465753424658</v>
          </cell>
        </row>
        <row r="73">
          <cell r="F73">
            <v>5363</v>
          </cell>
          <cell r="N73">
            <v>4901.666666666667</v>
          </cell>
        </row>
        <row r="74">
          <cell r="F74">
            <v>5222.608695652174</v>
          </cell>
          <cell r="N74">
            <v>4262.3762376237628</v>
          </cell>
        </row>
        <row r="79">
          <cell r="F79">
            <v>2780</v>
          </cell>
          <cell r="N79">
            <v>1529.7029702970297</v>
          </cell>
        </row>
        <row r="80">
          <cell r="F80">
            <v>3016.666666666667</v>
          </cell>
          <cell r="N80">
            <v>1543.5643564356435</v>
          </cell>
        </row>
        <row r="81">
          <cell r="F81">
            <v>3280.9917355371904</v>
          </cell>
          <cell r="N81">
            <v>1545.6310679611649</v>
          </cell>
        </row>
        <row r="82">
          <cell r="F82">
            <v>3070</v>
          </cell>
          <cell r="N82">
            <v>1751</v>
          </cell>
        </row>
        <row r="83">
          <cell r="F83">
            <v>3441.1764705882351</v>
          </cell>
          <cell r="N83">
            <v>2090.09900990099</v>
          </cell>
        </row>
        <row r="84">
          <cell r="F84">
            <v>3316.8316831683169</v>
          </cell>
          <cell r="N84">
            <v>2116.5048543689318</v>
          </cell>
        </row>
        <row r="85">
          <cell r="F85">
            <v>3140</v>
          </cell>
          <cell r="N85">
            <v>1934.9056603773583</v>
          </cell>
        </row>
        <row r="86">
          <cell r="F86">
            <v>3235.2941176470586</v>
          </cell>
          <cell r="N86">
            <v>1682.1782178217823</v>
          </cell>
        </row>
        <row r="87">
          <cell r="F87">
            <v>3451.8867924528299</v>
          </cell>
          <cell r="N87">
            <v>2028</v>
          </cell>
        </row>
        <row r="88">
          <cell r="F88">
            <v>3470</v>
          </cell>
          <cell r="N88">
            <v>1712</v>
          </cell>
        </row>
        <row r="89">
          <cell r="F89">
            <v>2821.7821782178216</v>
          </cell>
          <cell r="N89">
            <v>1832</v>
          </cell>
        </row>
        <row r="90">
          <cell r="F90">
            <v>2830</v>
          </cell>
          <cell r="N90">
            <v>2056.4356435643563</v>
          </cell>
        </row>
        <row r="91">
          <cell r="F91">
            <v>2821.7821782178216</v>
          </cell>
          <cell r="N91">
            <v>2051.4851485148515</v>
          </cell>
        </row>
        <row r="92">
          <cell r="F92">
            <v>4170</v>
          </cell>
          <cell r="N92">
            <v>2185.294117647059</v>
          </cell>
        </row>
        <row r="93">
          <cell r="F93">
            <v>4376.2376237623766</v>
          </cell>
          <cell r="N93">
            <v>2101.9801980198022</v>
          </cell>
        </row>
        <row r="94">
          <cell r="F94">
            <v>4029.7029702970299</v>
          </cell>
          <cell r="N94">
            <v>2327</v>
          </cell>
        </row>
        <row r="95">
          <cell r="F95">
            <v>2764.3564356435645</v>
          </cell>
          <cell r="N95">
            <v>2347.5</v>
          </cell>
        </row>
        <row r="96">
          <cell r="F96">
            <v>2698.0198019801978</v>
          </cell>
          <cell r="N96">
            <v>2695.0495049504952</v>
          </cell>
        </row>
        <row r="97">
          <cell r="F97">
            <v>3300</v>
          </cell>
          <cell r="N97">
            <v>2373.5294117647059</v>
          </cell>
        </row>
        <row r="98">
          <cell r="F98">
            <v>3351.4563106796118</v>
          </cell>
          <cell r="N98">
            <v>2658.8235294117649</v>
          </cell>
        </row>
        <row r="99">
          <cell r="F99">
            <v>3467.8899082568805</v>
          </cell>
          <cell r="N99">
            <v>2848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1554" id="{275F2AB0-F7A5-1148-BFD0-946F2CD2BAD3}" userId="S::th1554@ms365th.com::e5e367d0-f9dc-4bb3-8023-1c23697607c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3627E7-2EEC-40A0-91E5-3A3AE0853481}" name="Table1" displayName="Table1" ref="B3:I11" totalsRowShown="0" headerRowDxfId="23" dataDxfId="21" headerRowBorderDxfId="22" tableBorderDxfId="20">
  <autoFilter ref="B3:I11" xr:uid="{513627E7-2EEC-40A0-91E5-3A3AE0853481}"/>
  <tableColumns count="8">
    <tableColumn id="1" xr3:uid="{F02B89E8-98CD-4386-BC06-D4C2F0335FEE}" name="Pear" dataDxfId="19"/>
    <tableColumn id="2" xr3:uid="{CC172C64-6EA2-4457-A803-A232A3476416}" name="IF" dataDxfId="18"/>
    <tableColumn id="3" xr3:uid="{F3A9D998-DAC1-45F7-B772-61E1AAF41D0E}" name="VVS1" dataDxfId="17"/>
    <tableColumn id="4" xr3:uid="{B94326D1-09B1-47B4-A212-198DC6D3CF98}" name="VVS2" dataDxfId="16"/>
    <tableColumn id="5" xr3:uid="{31954B03-FB86-4288-A10B-4D087A0377F7}" name="VS1" dataDxfId="15"/>
    <tableColumn id="6" xr3:uid="{679BF8E3-E206-4359-99A4-AADDF7ABB1C6}" name="VS2" dataDxfId="14"/>
    <tableColumn id="7" xr3:uid="{0A6A6E32-FC29-4094-BF10-0183484691BE}" name="SI1" dataDxfId="13"/>
    <tableColumn id="8" xr3:uid="{D740EB19-99FF-439C-8453-D789357E81BA}" name="SI2" dataDxfId="12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6914F8-D75D-426F-BB9A-375D7C010AF5}" name="Table3" displayName="Table3" ref="K3:R11" totalsRowShown="0" headerRowDxfId="11" dataDxfId="9" headerRowBorderDxfId="10" tableBorderDxfId="8">
  <autoFilter ref="K3:R11" xr:uid="{456914F8-D75D-426F-BB9A-375D7C010AF5}"/>
  <tableColumns count="8">
    <tableColumn id="1" xr3:uid="{ECF548BF-7170-46D1-8E6D-EE748627A69F}" name="Pear" dataDxfId="7"/>
    <tableColumn id="2" xr3:uid="{108B125A-7AAC-441C-B1B0-8FAC7CBED730}" name="IF" dataDxfId="6"/>
    <tableColumn id="3" xr3:uid="{C2313B9E-A121-4457-9F88-60086242C714}" name="VVS1" dataDxfId="5"/>
    <tableColumn id="4" xr3:uid="{74FEAE10-CB58-4DAE-8DAD-F97239BFFE4A}" name="VVS2" dataDxfId="4"/>
    <tableColumn id="5" xr3:uid="{F754C51A-495A-4CDA-9DF6-74FD30D48BED}" name="VS1" dataDxfId="3"/>
    <tableColumn id="6" xr3:uid="{DBE8BC0B-5A43-42D3-9512-DA99495AFB7E}" name="VS2" dataDxfId="2"/>
    <tableColumn id="7" xr3:uid="{72BCECF1-E503-483A-AFF2-FDE0A8ED8B11}" name="SI1" dataDxfId="1"/>
    <tableColumn id="8" xr3:uid="{48660536-4C96-49D6-9EA3-321B92E8CC0A}" name="SI2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63" dT="2023-04-15T18:46:22.66" personId="{275F2AB0-F7A5-1148-BFD0-946F2CD2BAD3}" id="{31E037BE-A43D-8743-B37B-6BF09220C867}">
    <text>From rare carat</text>
  </threadedComment>
  <threadedComment ref="N64" dT="2023-04-15T18:46:27.33" personId="{275F2AB0-F7A5-1148-BFD0-946F2CD2BAD3}" id="{34EEC943-35CC-B040-AED5-41D570F2A4C6}">
    <text>From rare carat</text>
  </threadedComment>
  <threadedComment ref="N65" dT="2023-04-15T18:46:32.33" personId="{275F2AB0-F7A5-1148-BFD0-946F2CD2BAD3}" id="{6AC37344-078D-6245-B33A-A49745958948}">
    <text>From rare carat</text>
  </threadedComment>
  <threadedComment ref="N68" dT="2023-04-15T18:45:45.27" personId="{275F2AB0-F7A5-1148-BFD0-946F2CD2BAD3}" id="{3BEAFA8A-AEEE-DE45-829C-141EBEEEDFAA}">
    <text>From rarecarat</text>
  </threadedComment>
  <threadedComment ref="N71" dT="2023-04-15T18:45:51.58" personId="{275F2AB0-F7A5-1148-BFD0-946F2CD2BAD3}" id="{4B6FA484-C40E-224E-A81C-83C0A73E8CD1}">
    <text>From rare carat</text>
  </threadedComment>
  <threadedComment ref="F72" dT="2023-04-15T18:40:31.02" personId="{275F2AB0-F7A5-1148-BFD0-946F2CD2BAD3}" id="{3D312559-FE11-694C-81CA-AD14D4439918}">
    <text>From rare carat</text>
  </threadedComment>
  <threadedComment ref="F73" dT="2023-04-15T18:40:55.52" personId="{275F2AB0-F7A5-1148-BFD0-946F2CD2BAD3}" id="{ED0FE72A-12B5-D946-9BD9-48478EEEF6B2}">
    <text>From rare carat</text>
  </threadedComment>
  <threadedComment ref="N73" dT="2023-04-15T18:44:54.00" personId="{275F2AB0-F7A5-1148-BFD0-946F2CD2BAD3}" id="{FAF0E5AD-45C5-4A4D-896B-58CEF0FECC34}">
    <text>From rare carat</text>
  </threadedComment>
  <threadedComment ref="F74" dT="2023-04-15T18:41:02.48" personId="{275F2AB0-F7A5-1148-BFD0-946F2CD2BAD3}" id="{DD3AEC4F-F2F0-FD4C-8C70-795F50C59421}">
    <text>From rare carat</text>
  </threadedComment>
  <threadedComment ref="N74" dT="2023-04-15T18:44:58.58" personId="{275F2AB0-F7A5-1148-BFD0-946F2CD2BAD3}" id="{B5F55D86-3BD1-9F4C-B9F6-7EABA8DCBC8A}">
    <text>From rare carat</text>
  </threadedComment>
  <threadedComment ref="F87" dT="2023-04-15T22:44:12.41" personId="{275F2AB0-F7A5-1148-BFD0-946F2CD2BAD3}" id="{2E9B0904-CFA7-664A-B752-BE2A149E467A}">
    <text>From rarecarat</text>
  </threadedComment>
  <threadedComment ref="F96" dT="2023-04-15T18:52:54.98" personId="{275F2AB0-F7A5-1148-BFD0-946F2CD2BAD3}" id="{2AE6D47D-E11C-0A49-96BE-04CF320B999F}">
    <text>From rarecarat</text>
  </threadedComment>
  <threadedComment ref="F97" dT="2023-04-15T18:53:00.17" personId="{275F2AB0-F7A5-1148-BFD0-946F2CD2BAD3}" id="{4D6900CC-83AF-824D-BA92-1AAC34C8E062}">
    <text>From rarecarat</text>
  </threadedComment>
  <threadedComment ref="F98" dT="2023-04-15T18:53:05.34" personId="{275F2AB0-F7A5-1148-BFD0-946F2CD2BAD3}" id="{E263E481-A908-D444-A8F2-8615ED7E4631}">
    <text>From rarecarat</text>
  </threadedComment>
  <threadedComment ref="F99" dT="2023-04-15T18:53:10.60" personId="{275F2AB0-F7A5-1148-BFD0-946F2CD2BAD3}" id="{1D9BE7B4-430A-FD4D-9B92-5A4F8BB2CD54}">
    <text>From rarecarat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osegrowndiamond.com/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loosegrowndiamond.com/" TargetMode="External"/><Relationship Id="rId1" Type="http://schemas.openxmlformats.org/officeDocument/2006/relationships/hyperlink" Target="https://www.javda.com/labgrown/" TargetMode="External"/><Relationship Id="rId6" Type="http://schemas.openxmlformats.org/officeDocument/2006/relationships/hyperlink" Target="https://www.loosegrowndiamond.com/" TargetMode="External"/><Relationship Id="rId5" Type="http://schemas.openxmlformats.org/officeDocument/2006/relationships/hyperlink" Target="https://www.loosegrowndiamond.com/" TargetMode="External"/><Relationship Id="rId4" Type="http://schemas.openxmlformats.org/officeDocument/2006/relationships/hyperlink" Target="https://www.loosegrowndiamond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4347C-4527-4D9A-95F0-6EC56AA8B946}">
  <sheetPr codeName="Sheet1"/>
  <dimension ref="A1:N99"/>
  <sheetViews>
    <sheetView tabSelected="1" topLeftCell="A75" zoomScale="70" zoomScaleNormal="70" workbookViewId="0">
      <selection activeCell="A4" sqref="A4:A24"/>
    </sheetView>
  </sheetViews>
  <sheetFormatPr defaultRowHeight="14.4"/>
  <cols>
    <col min="1" max="1" width="13" customWidth="1"/>
    <col min="2" max="2" width="14.6640625" customWidth="1"/>
    <col min="3" max="3" width="19.109375" customWidth="1"/>
    <col min="4" max="4" width="12.33203125" customWidth="1"/>
    <col min="6" max="6" width="12.33203125" customWidth="1"/>
    <col min="8" max="8" width="9.6640625" customWidth="1"/>
    <col min="9" max="9" width="12.5546875" customWidth="1"/>
    <col min="10" max="10" width="14.109375" style="2" customWidth="1"/>
    <col min="11" max="11" width="15.33203125" customWidth="1"/>
    <col min="12" max="12" width="16.5546875" customWidth="1"/>
    <col min="13" max="13" width="17" customWidth="1"/>
    <col min="14" max="14" width="15.44140625" style="2" customWidth="1"/>
  </cols>
  <sheetData>
    <row r="1" spans="1:14">
      <c r="A1" s="149" t="s">
        <v>0</v>
      </c>
      <c r="B1" s="149"/>
      <c r="C1" s="149"/>
      <c r="D1" s="149"/>
      <c r="E1" s="149"/>
      <c r="F1" s="149"/>
      <c r="I1" s="153" t="s">
        <v>0</v>
      </c>
      <c r="J1" s="153"/>
      <c r="K1" s="153"/>
      <c r="L1" s="153"/>
      <c r="M1" s="153"/>
      <c r="N1" s="153"/>
    </row>
    <row r="2" spans="1:14">
      <c r="A2" s="150" t="s">
        <v>23</v>
      </c>
      <c r="B2" s="151"/>
      <c r="C2" s="151"/>
      <c r="D2" s="151"/>
      <c r="E2" s="151"/>
      <c r="F2" s="152"/>
      <c r="I2" s="150" t="s">
        <v>24</v>
      </c>
      <c r="J2" s="151"/>
      <c r="K2" s="151"/>
      <c r="L2" s="151"/>
      <c r="M2" s="151"/>
      <c r="N2" s="152"/>
    </row>
    <row r="3" spans="1:14">
      <c r="A3" s="6" t="s">
        <v>3</v>
      </c>
      <c r="B3" s="6" t="s">
        <v>4</v>
      </c>
      <c r="C3" s="6" t="s">
        <v>5</v>
      </c>
      <c r="D3" s="6" t="s">
        <v>6</v>
      </c>
      <c r="E3" s="6" t="s">
        <v>7</v>
      </c>
      <c r="F3" s="6" t="s">
        <v>8</v>
      </c>
      <c r="I3" s="6" t="s">
        <v>3</v>
      </c>
      <c r="J3" s="13" t="s">
        <v>4</v>
      </c>
      <c r="K3" s="6" t="s">
        <v>5</v>
      </c>
      <c r="L3" s="6" t="s">
        <v>6</v>
      </c>
      <c r="M3" s="6" t="s">
        <v>7</v>
      </c>
      <c r="N3" s="13" t="s">
        <v>8</v>
      </c>
    </row>
    <row r="4" spans="1:14">
      <c r="A4" s="9">
        <v>2090</v>
      </c>
      <c r="B4" s="5">
        <v>1.01</v>
      </c>
      <c r="C4" s="4" t="s">
        <v>9</v>
      </c>
      <c r="D4" s="4" t="s">
        <v>25</v>
      </c>
      <c r="E4" s="4" t="s">
        <v>11</v>
      </c>
      <c r="F4" s="11">
        <v>2069.31</v>
      </c>
      <c r="I4" s="9">
        <v>1696</v>
      </c>
      <c r="J4" s="5">
        <v>1.01</v>
      </c>
      <c r="K4" s="4" t="s">
        <v>9</v>
      </c>
      <c r="L4" s="4" t="s">
        <v>26</v>
      </c>
      <c r="M4" s="4" t="s">
        <v>11</v>
      </c>
      <c r="N4" s="12"/>
    </row>
    <row r="5" spans="1:14">
      <c r="A5" s="9">
        <v>2269</v>
      </c>
      <c r="B5" s="5">
        <v>1.01</v>
      </c>
      <c r="C5" s="4" t="s">
        <v>9</v>
      </c>
      <c r="D5" s="4" t="s">
        <v>25</v>
      </c>
      <c r="E5" s="4" t="s">
        <v>11</v>
      </c>
      <c r="F5" s="11">
        <v>2246.5300000000002</v>
      </c>
      <c r="I5" s="9">
        <v>1814</v>
      </c>
      <c r="J5" s="5">
        <v>1</v>
      </c>
      <c r="K5" s="4" t="s">
        <v>9</v>
      </c>
      <c r="L5" s="4" t="s">
        <v>26</v>
      </c>
      <c r="M5" s="4" t="s">
        <v>11</v>
      </c>
      <c r="N5" s="11">
        <v>1679.21</v>
      </c>
    </row>
    <row r="6" spans="1:14">
      <c r="A6" s="9">
        <v>3130</v>
      </c>
      <c r="B6" s="5">
        <v>1</v>
      </c>
      <c r="C6" s="4" t="s">
        <v>9</v>
      </c>
      <c r="D6" s="4" t="s">
        <v>25</v>
      </c>
      <c r="E6" s="4" t="s">
        <v>11</v>
      </c>
      <c r="F6" s="11">
        <v>3130</v>
      </c>
      <c r="I6" s="9">
        <v>1922</v>
      </c>
      <c r="J6" s="5">
        <v>1.01</v>
      </c>
      <c r="K6" s="4" t="s">
        <v>9</v>
      </c>
      <c r="L6" s="4" t="s">
        <v>26</v>
      </c>
      <c r="M6" s="4" t="s">
        <v>11</v>
      </c>
      <c r="N6" s="11">
        <v>1814</v>
      </c>
    </row>
    <row r="7" spans="1:14">
      <c r="A7" s="9">
        <v>3297</v>
      </c>
      <c r="B7" s="5">
        <v>1</v>
      </c>
      <c r="C7" s="4" t="s">
        <v>9</v>
      </c>
      <c r="D7" s="4" t="s">
        <v>25</v>
      </c>
      <c r="E7" s="4" t="s">
        <v>13</v>
      </c>
      <c r="F7" s="11">
        <v>3297</v>
      </c>
      <c r="I7" s="9">
        <v>3465</v>
      </c>
      <c r="J7" s="5">
        <v>1</v>
      </c>
      <c r="K7" s="4" t="s">
        <v>9</v>
      </c>
      <c r="L7" s="4" t="s">
        <v>26</v>
      </c>
      <c r="M7" s="4" t="s">
        <v>13</v>
      </c>
      <c r="N7" s="11">
        <v>1902.97</v>
      </c>
    </row>
    <row r="8" spans="1:14">
      <c r="A8" s="9">
        <v>3743</v>
      </c>
      <c r="B8" s="5">
        <v>1.02</v>
      </c>
      <c r="C8" s="4" t="s">
        <v>9</v>
      </c>
      <c r="D8" s="4" t="s">
        <v>25</v>
      </c>
      <c r="E8" s="4" t="s">
        <v>13</v>
      </c>
      <c r="F8" s="11">
        <v>3669.61</v>
      </c>
      <c r="I8" s="9">
        <v>3540</v>
      </c>
      <c r="J8" s="5">
        <v>1.07</v>
      </c>
      <c r="K8" s="4" t="s">
        <v>9</v>
      </c>
      <c r="L8" s="4" t="s">
        <v>26</v>
      </c>
      <c r="M8" s="4" t="s">
        <v>13</v>
      </c>
      <c r="N8" s="11">
        <v>3465</v>
      </c>
    </row>
    <row r="9" spans="1:14">
      <c r="A9" s="9">
        <v>3822</v>
      </c>
      <c r="B9" s="5">
        <v>1</v>
      </c>
      <c r="C9" s="4" t="s">
        <v>9</v>
      </c>
      <c r="D9" s="4" t="s">
        <v>25</v>
      </c>
      <c r="E9" s="4" t="s">
        <v>13</v>
      </c>
      <c r="F9" s="11">
        <v>3822</v>
      </c>
      <c r="I9" s="9">
        <v>3615</v>
      </c>
      <c r="J9" s="5">
        <v>1.01</v>
      </c>
      <c r="K9" s="4" t="s">
        <v>9</v>
      </c>
      <c r="L9" s="4" t="s">
        <v>26</v>
      </c>
      <c r="M9" s="4" t="s">
        <v>13</v>
      </c>
      <c r="N9" s="11">
        <v>3308.41</v>
      </c>
    </row>
    <row r="10" spans="1:14">
      <c r="A10" s="9">
        <v>5273</v>
      </c>
      <c r="B10" s="5">
        <v>1.03</v>
      </c>
      <c r="C10" s="4" t="s">
        <v>9</v>
      </c>
      <c r="D10" s="4" t="s">
        <v>25</v>
      </c>
      <c r="E10" s="4" t="s">
        <v>15</v>
      </c>
      <c r="F10" s="11">
        <v>5119.42</v>
      </c>
      <c r="I10" s="9">
        <v>5444</v>
      </c>
      <c r="J10" s="5">
        <v>1.02</v>
      </c>
      <c r="K10" s="4" t="s">
        <v>9</v>
      </c>
      <c r="L10" s="4" t="s">
        <v>26</v>
      </c>
      <c r="M10" s="4" t="s">
        <v>15</v>
      </c>
      <c r="N10" s="11">
        <v>3579.21</v>
      </c>
    </row>
    <row r="11" spans="1:14">
      <c r="A11" s="9">
        <v>5322</v>
      </c>
      <c r="B11" s="5">
        <v>1.01</v>
      </c>
      <c r="C11" s="4" t="s">
        <v>9</v>
      </c>
      <c r="D11" s="4" t="s">
        <v>25</v>
      </c>
      <c r="E11" s="4" t="s">
        <v>15</v>
      </c>
      <c r="F11" s="11">
        <v>5269.31</v>
      </c>
      <c r="I11" s="9">
        <v>4874</v>
      </c>
      <c r="J11" s="5">
        <v>1</v>
      </c>
      <c r="K11" s="4" t="s">
        <v>9</v>
      </c>
      <c r="L11" s="4" t="s">
        <v>26</v>
      </c>
      <c r="M11" s="4" t="s">
        <v>15</v>
      </c>
      <c r="N11" s="11">
        <v>5337.25</v>
      </c>
    </row>
    <row r="12" spans="1:14">
      <c r="A12" s="9">
        <v>5368</v>
      </c>
      <c r="B12" s="5">
        <v>1</v>
      </c>
      <c r="C12" s="4" t="s">
        <v>9</v>
      </c>
      <c r="D12" s="4" t="s">
        <v>25</v>
      </c>
      <c r="E12" s="4" t="s">
        <v>15</v>
      </c>
      <c r="F12" s="11">
        <v>5368</v>
      </c>
      <c r="I12" s="9">
        <v>5206</v>
      </c>
      <c r="J12" s="5">
        <v>1</v>
      </c>
      <c r="K12" s="4" t="s">
        <v>9</v>
      </c>
      <c r="L12" s="4" t="s">
        <v>26</v>
      </c>
      <c r="M12" s="4" t="s">
        <v>15</v>
      </c>
      <c r="N12" s="11">
        <v>4874</v>
      </c>
    </row>
    <row r="13" spans="1:14">
      <c r="A13" s="9">
        <v>6580</v>
      </c>
      <c r="B13" s="5">
        <v>1.01</v>
      </c>
      <c r="C13" s="4" t="s">
        <v>9</v>
      </c>
      <c r="D13" s="4" t="s">
        <v>25</v>
      </c>
      <c r="E13" s="4" t="s">
        <v>14</v>
      </c>
      <c r="F13" s="11">
        <v>6514.85</v>
      </c>
      <c r="I13" s="9">
        <v>4923</v>
      </c>
      <c r="J13" s="5">
        <v>1.01</v>
      </c>
      <c r="K13" s="4" t="s">
        <v>9</v>
      </c>
      <c r="L13" s="4" t="s">
        <v>26</v>
      </c>
      <c r="M13" s="4" t="s">
        <v>14</v>
      </c>
      <c r="N13" s="11">
        <v>5206</v>
      </c>
    </row>
    <row r="14" spans="1:14">
      <c r="A14" s="9">
        <v>6581</v>
      </c>
      <c r="B14" s="5">
        <v>1</v>
      </c>
      <c r="C14" s="4" t="s">
        <v>9</v>
      </c>
      <c r="D14" s="4" t="s">
        <v>25</v>
      </c>
      <c r="E14" s="4" t="s">
        <v>14</v>
      </c>
      <c r="F14" s="11">
        <v>6581</v>
      </c>
      <c r="I14" s="9">
        <v>4959</v>
      </c>
      <c r="J14" s="5">
        <v>1</v>
      </c>
      <c r="K14" s="4" t="s">
        <v>9</v>
      </c>
      <c r="L14" s="4" t="s">
        <v>26</v>
      </c>
      <c r="M14" s="4" t="s">
        <v>14</v>
      </c>
      <c r="N14" s="11">
        <v>4874.26</v>
      </c>
    </row>
    <row r="15" spans="1:14">
      <c r="A15" s="9">
        <v>6642</v>
      </c>
      <c r="B15" s="5">
        <v>1.03</v>
      </c>
      <c r="C15" s="4" t="s">
        <v>9</v>
      </c>
      <c r="D15" s="4" t="s">
        <v>25</v>
      </c>
      <c r="E15" s="4" t="s">
        <v>14</v>
      </c>
      <c r="F15" s="11">
        <v>6448.54</v>
      </c>
      <c r="I15" s="9">
        <v>5250</v>
      </c>
      <c r="J15" s="5">
        <v>1.01</v>
      </c>
      <c r="K15" s="4" t="s">
        <v>9</v>
      </c>
      <c r="L15" s="4" t="s">
        <v>26</v>
      </c>
      <c r="M15" s="4" t="s">
        <v>14</v>
      </c>
      <c r="N15" s="11">
        <v>4959</v>
      </c>
    </row>
    <row r="16" spans="1:14">
      <c r="A16" s="9">
        <v>6113</v>
      </c>
      <c r="B16" s="5">
        <v>1</v>
      </c>
      <c r="C16" s="4" t="s">
        <v>9</v>
      </c>
      <c r="D16" s="4" t="s">
        <v>25</v>
      </c>
      <c r="E16" s="4" t="s">
        <v>16</v>
      </c>
      <c r="F16" s="11">
        <v>6113</v>
      </c>
      <c r="I16" s="9">
        <v>6230</v>
      </c>
      <c r="J16" s="5">
        <v>1.01</v>
      </c>
      <c r="K16" s="4" t="s">
        <v>9</v>
      </c>
      <c r="L16" s="4" t="s">
        <v>26</v>
      </c>
      <c r="M16" s="4" t="s">
        <v>16</v>
      </c>
      <c r="N16" s="11">
        <v>5198.0200000000004</v>
      </c>
    </row>
    <row r="17" spans="1:14">
      <c r="A17" s="9">
        <v>6117</v>
      </c>
      <c r="B17" s="5">
        <v>1.01</v>
      </c>
      <c r="C17" s="4" t="s">
        <v>9</v>
      </c>
      <c r="D17" s="4" t="s">
        <v>25</v>
      </c>
      <c r="E17" s="4" t="s">
        <v>16</v>
      </c>
      <c r="F17" s="11">
        <v>6056.44</v>
      </c>
      <c r="I17" s="9">
        <v>6376</v>
      </c>
      <c r="J17" s="5">
        <v>1.01</v>
      </c>
      <c r="K17" s="4" t="s">
        <v>9</v>
      </c>
      <c r="L17" s="4" t="s">
        <v>26</v>
      </c>
      <c r="M17" s="4" t="s">
        <v>16</v>
      </c>
      <c r="N17" s="11">
        <v>6168.32</v>
      </c>
    </row>
    <row r="18" spans="1:14">
      <c r="A18" s="9">
        <v>6381</v>
      </c>
      <c r="B18" s="5">
        <v>1.01</v>
      </c>
      <c r="C18" s="4" t="s">
        <v>9</v>
      </c>
      <c r="D18" s="4" t="s">
        <v>25</v>
      </c>
      <c r="E18" s="4" t="s">
        <v>16</v>
      </c>
      <c r="F18" s="11">
        <v>6317.82</v>
      </c>
      <c r="I18" s="9">
        <v>6668</v>
      </c>
      <c r="J18" s="5">
        <v>1.01</v>
      </c>
      <c r="K18" s="4" t="s">
        <v>9</v>
      </c>
      <c r="L18" s="4" t="s">
        <v>26</v>
      </c>
      <c r="M18" s="4" t="s">
        <v>16</v>
      </c>
      <c r="N18" s="11">
        <v>6312.87</v>
      </c>
    </row>
    <row r="19" spans="1:14">
      <c r="A19" s="9">
        <v>6173</v>
      </c>
      <c r="B19" s="5">
        <v>1</v>
      </c>
      <c r="C19" s="4" t="s">
        <v>9</v>
      </c>
      <c r="D19" s="4" t="s">
        <v>25</v>
      </c>
      <c r="E19" s="4" t="s">
        <v>17</v>
      </c>
      <c r="F19" s="11">
        <v>6173</v>
      </c>
      <c r="I19" s="9">
        <v>6336</v>
      </c>
      <c r="J19" s="5">
        <v>1</v>
      </c>
      <c r="K19" s="4" t="s">
        <v>9</v>
      </c>
      <c r="L19" s="4" t="s">
        <v>26</v>
      </c>
      <c r="M19" s="4" t="s">
        <v>17</v>
      </c>
      <c r="N19" s="11">
        <v>6601.98</v>
      </c>
    </row>
    <row r="20" spans="1:14">
      <c r="A20" s="9">
        <v>6489</v>
      </c>
      <c r="B20" s="5">
        <v>1.01</v>
      </c>
      <c r="C20" s="4" t="s">
        <v>9</v>
      </c>
      <c r="D20" s="4" t="s">
        <v>25</v>
      </c>
      <c r="E20" s="4" t="s">
        <v>17</v>
      </c>
      <c r="F20" s="11">
        <v>6424.75</v>
      </c>
      <c r="I20" s="9">
        <v>6512</v>
      </c>
      <c r="J20" s="5">
        <v>1.01</v>
      </c>
      <c r="K20" s="4" t="s">
        <v>9</v>
      </c>
      <c r="L20" s="4" t="s">
        <v>26</v>
      </c>
      <c r="M20" s="4" t="s">
        <v>17</v>
      </c>
      <c r="N20" s="11">
        <v>6336</v>
      </c>
    </row>
    <row r="21" spans="1:14">
      <c r="A21" s="9">
        <v>6537</v>
      </c>
      <c r="B21" s="5">
        <v>1.01</v>
      </c>
      <c r="C21" s="4" t="s">
        <v>9</v>
      </c>
      <c r="D21" s="4" t="s">
        <v>25</v>
      </c>
      <c r="E21" s="4" t="s">
        <v>17</v>
      </c>
      <c r="F21" s="11">
        <v>6472.28</v>
      </c>
      <c r="I21" s="9">
        <v>6591</v>
      </c>
      <c r="J21" s="5">
        <v>1.01</v>
      </c>
      <c r="K21" s="4" t="s">
        <v>9</v>
      </c>
      <c r="L21" s="4" t="s">
        <v>26</v>
      </c>
      <c r="M21" s="4" t="s">
        <v>17</v>
      </c>
      <c r="N21" s="11">
        <v>6447.52</v>
      </c>
    </row>
    <row r="22" spans="1:14">
      <c r="A22" s="9">
        <v>6677</v>
      </c>
      <c r="B22" s="5">
        <v>1</v>
      </c>
      <c r="C22" s="4" t="s">
        <v>9</v>
      </c>
      <c r="D22" s="4" t="s">
        <v>25</v>
      </c>
      <c r="E22" s="4" t="s">
        <v>18</v>
      </c>
      <c r="F22" s="11">
        <v>6677</v>
      </c>
      <c r="I22" s="9">
        <v>6163</v>
      </c>
      <c r="J22" s="5">
        <v>1.01</v>
      </c>
      <c r="K22" s="4" t="s">
        <v>9</v>
      </c>
      <c r="L22" s="4" t="s">
        <v>26</v>
      </c>
      <c r="M22" s="4" t="s">
        <v>18</v>
      </c>
      <c r="N22" s="11">
        <v>6525.74</v>
      </c>
    </row>
    <row r="23" spans="1:14">
      <c r="A23" s="9">
        <v>7273</v>
      </c>
      <c r="B23" s="5">
        <v>1.06</v>
      </c>
      <c r="C23" s="4" t="s">
        <v>9</v>
      </c>
      <c r="D23" s="4" t="s">
        <v>25</v>
      </c>
      <c r="E23" s="4" t="s">
        <v>18</v>
      </c>
      <c r="F23" s="11">
        <v>6861.32</v>
      </c>
      <c r="I23" s="9">
        <v>6787</v>
      </c>
      <c r="J23" s="5">
        <v>1.06</v>
      </c>
      <c r="K23" s="4" t="s">
        <v>9</v>
      </c>
      <c r="L23" s="4" t="s">
        <v>26</v>
      </c>
      <c r="M23" s="4" t="s">
        <v>18</v>
      </c>
      <c r="N23" s="11">
        <v>6101.98</v>
      </c>
    </row>
    <row r="24" spans="1:14">
      <c r="A24" s="9">
        <v>8225</v>
      </c>
      <c r="B24" s="5">
        <v>1</v>
      </c>
      <c r="C24" s="4" t="s">
        <v>9</v>
      </c>
      <c r="D24" s="4" t="s">
        <v>25</v>
      </c>
      <c r="E24" s="4" t="s">
        <v>18</v>
      </c>
      <c r="F24" s="11">
        <v>8225</v>
      </c>
      <c r="I24" s="9">
        <v>7150</v>
      </c>
      <c r="J24" s="5">
        <v>1.01</v>
      </c>
      <c r="K24" s="4" t="s">
        <v>9</v>
      </c>
      <c r="L24" s="4" t="s">
        <v>26</v>
      </c>
      <c r="M24" s="4" t="s">
        <v>18</v>
      </c>
      <c r="N24" s="11">
        <v>6402.83</v>
      </c>
    </row>
    <row r="27" spans="1:14">
      <c r="A27" s="150" t="s">
        <v>27</v>
      </c>
      <c r="B27" s="151"/>
      <c r="C27" s="151"/>
      <c r="D27" s="151"/>
      <c r="E27" s="151"/>
      <c r="F27" s="152"/>
      <c r="I27" s="150" t="s">
        <v>28</v>
      </c>
      <c r="J27" s="151"/>
      <c r="K27" s="151"/>
      <c r="L27" s="151"/>
      <c r="M27" s="151"/>
      <c r="N27" s="152"/>
    </row>
    <row r="28" spans="1:14">
      <c r="A28" s="6" t="s">
        <v>3</v>
      </c>
      <c r="B28" s="6" t="s">
        <v>4</v>
      </c>
      <c r="C28" s="6" t="s">
        <v>5</v>
      </c>
      <c r="D28" s="6" t="s">
        <v>6</v>
      </c>
      <c r="E28" s="6" t="s">
        <v>7</v>
      </c>
      <c r="F28" s="6" t="s">
        <v>8</v>
      </c>
      <c r="I28" s="6" t="s">
        <v>3</v>
      </c>
      <c r="J28" s="6" t="s">
        <v>4</v>
      </c>
      <c r="K28" s="6" t="s">
        <v>5</v>
      </c>
      <c r="L28" s="6" t="s">
        <v>6</v>
      </c>
      <c r="M28" s="6" t="s">
        <v>7</v>
      </c>
      <c r="N28" s="6" t="s">
        <v>8</v>
      </c>
    </row>
    <row r="29" spans="1:14">
      <c r="A29" s="9">
        <v>1850</v>
      </c>
      <c r="B29" s="5">
        <v>1</v>
      </c>
      <c r="C29" s="4" t="s">
        <v>9</v>
      </c>
      <c r="D29" s="4" t="s">
        <v>29</v>
      </c>
      <c r="E29" s="4" t="s">
        <v>11</v>
      </c>
      <c r="F29" s="11">
        <v>1850</v>
      </c>
      <c r="I29" s="9">
        <v>1454</v>
      </c>
      <c r="J29" s="4">
        <v>1.01</v>
      </c>
      <c r="K29" s="4" t="s">
        <v>9</v>
      </c>
      <c r="L29" s="4" t="s">
        <v>30</v>
      </c>
      <c r="M29" s="4" t="s">
        <v>11</v>
      </c>
      <c r="N29" s="11">
        <v>1439.6</v>
      </c>
    </row>
    <row r="30" spans="1:14">
      <c r="A30" s="9">
        <v>1852</v>
      </c>
      <c r="B30" s="5">
        <v>1.01</v>
      </c>
      <c r="C30" s="4" t="s">
        <v>9</v>
      </c>
      <c r="D30" s="4" t="s">
        <v>29</v>
      </c>
      <c r="E30" s="4" t="s">
        <v>11</v>
      </c>
      <c r="F30" s="11">
        <v>1833.66</v>
      </c>
      <c r="I30" s="9">
        <v>1833</v>
      </c>
      <c r="J30" s="4">
        <v>1.01</v>
      </c>
      <c r="K30" s="4" t="s">
        <v>9</v>
      </c>
      <c r="L30" s="4" t="s">
        <v>30</v>
      </c>
      <c r="M30" s="4" t="s">
        <v>11</v>
      </c>
      <c r="N30" s="11">
        <v>1814.85</v>
      </c>
    </row>
    <row r="31" spans="1:14">
      <c r="A31" s="9">
        <v>1924</v>
      </c>
      <c r="B31" s="5">
        <v>1.01</v>
      </c>
      <c r="C31" s="4" t="s">
        <v>9</v>
      </c>
      <c r="D31" s="4" t="s">
        <v>29</v>
      </c>
      <c r="E31" s="4" t="s">
        <v>11</v>
      </c>
      <c r="F31" s="11">
        <v>1904.95</v>
      </c>
      <c r="I31" s="9">
        <v>2029</v>
      </c>
      <c r="J31" s="4">
        <v>1.01</v>
      </c>
      <c r="K31" s="4" t="s">
        <v>9</v>
      </c>
      <c r="L31" s="4" t="s">
        <v>30</v>
      </c>
      <c r="M31" s="4" t="s">
        <v>11</v>
      </c>
      <c r="N31" s="11">
        <v>2008.91</v>
      </c>
    </row>
    <row r="32" spans="1:14">
      <c r="A32" s="9">
        <v>4293</v>
      </c>
      <c r="B32" s="5">
        <v>1.01</v>
      </c>
      <c r="C32" s="4" t="s">
        <v>9</v>
      </c>
      <c r="D32" s="4" t="s">
        <v>29</v>
      </c>
      <c r="E32" s="4" t="s">
        <v>13</v>
      </c>
      <c r="F32" s="11">
        <v>4250.5</v>
      </c>
      <c r="I32" s="9">
        <v>2965</v>
      </c>
      <c r="J32" s="4">
        <v>1.03</v>
      </c>
      <c r="K32" s="4" t="s">
        <v>9</v>
      </c>
      <c r="L32" s="4" t="s">
        <v>30</v>
      </c>
      <c r="M32" s="4" t="s">
        <v>13</v>
      </c>
      <c r="N32" s="11">
        <v>2878.64</v>
      </c>
    </row>
    <row r="33" spans="1:14">
      <c r="A33" s="9">
        <v>3646</v>
      </c>
      <c r="B33" s="5">
        <v>1</v>
      </c>
      <c r="C33" s="4" t="s">
        <v>9</v>
      </c>
      <c r="D33" s="4" t="s">
        <v>29</v>
      </c>
      <c r="E33" s="4" t="s">
        <v>13</v>
      </c>
      <c r="F33" s="11">
        <v>3646</v>
      </c>
      <c r="I33" s="9">
        <v>3190</v>
      </c>
      <c r="J33" s="4">
        <v>1.01</v>
      </c>
      <c r="K33" s="4" t="s">
        <v>9</v>
      </c>
      <c r="L33" s="4" t="s">
        <v>30</v>
      </c>
      <c r="M33" s="4" t="s">
        <v>13</v>
      </c>
      <c r="N33" s="11">
        <v>3158.42</v>
      </c>
    </row>
    <row r="34" spans="1:14">
      <c r="A34" s="9">
        <v>3711</v>
      </c>
      <c r="B34" s="5">
        <v>1</v>
      </c>
      <c r="C34" s="4" t="s">
        <v>9</v>
      </c>
      <c r="D34" s="4" t="s">
        <v>29</v>
      </c>
      <c r="E34" s="4" t="s">
        <v>13</v>
      </c>
      <c r="F34" s="11">
        <v>3711</v>
      </c>
      <c r="I34" s="9">
        <v>3197</v>
      </c>
      <c r="J34" s="4">
        <v>1.01</v>
      </c>
      <c r="K34" s="4" t="s">
        <v>9</v>
      </c>
      <c r="L34" s="4" t="s">
        <v>30</v>
      </c>
      <c r="M34" s="4" t="s">
        <v>13</v>
      </c>
      <c r="N34" s="11">
        <v>3165.35</v>
      </c>
    </row>
    <row r="35" spans="1:14">
      <c r="A35" s="9">
        <v>4773</v>
      </c>
      <c r="B35" s="5">
        <v>1.01</v>
      </c>
      <c r="C35" s="4" t="s">
        <v>9</v>
      </c>
      <c r="D35" s="4" t="s">
        <v>29</v>
      </c>
      <c r="E35" s="4" t="s">
        <v>15</v>
      </c>
      <c r="F35" s="11">
        <v>4725.74</v>
      </c>
      <c r="I35" s="9">
        <v>4795</v>
      </c>
      <c r="J35" s="4">
        <v>1.01</v>
      </c>
      <c r="K35" s="4" t="s">
        <v>9</v>
      </c>
      <c r="L35" s="4" t="s">
        <v>30</v>
      </c>
      <c r="M35" s="4" t="s">
        <v>15</v>
      </c>
      <c r="N35" s="11">
        <v>4747.5200000000004</v>
      </c>
    </row>
    <row r="36" spans="1:14">
      <c r="A36" s="9">
        <v>4944</v>
      </c>
      <c r="B36" s="5">
        <v>1.01</v>
      </c>
      <c r="C36" s="4" t="s">
        <v>9</v>
      </c>
      <c r="D36" s="4" t="s">
        <v>29</v>
      </c>
      <c r="E36" s="4" t="s">
        <v>15</v>
      </c>
      <c r="F36" s="11">
        <v>4895.05</v>
      </c>
      <c r="I36" s="9">
        <v>4822</v>
      </c>
      <c r="J36" s="4">
        <v>1.03</v>
      </c>
      <c r="K36" s="4" t="s">
        <v>9</v>
      </c>
      <c r="L36" s="4" t="s">
        <v>30</v>
      </c>
      <c r="M36" s="4" t="s">
        <v>15</v>
      </c>
      <c r="N36" s="11">
        <v>4681.55</v>
      </c>
    </row>
    <row r="37" spans="1:14">
      <c r="A37" s="9">
        <v>5074</v>
      </c>
      <c r="B37" s="5">
        <v>1.01</v>
      </c>
      <c r="C37" s="4" t="s">
        <v>9</v>
      </c>
      <c r="D37" s="4" t="s">
        <v>29</v>
      </c>
      <c r="E37" s="4" t="s">
        <v>15</v>
      </c>
      <c r="F37" s="11">
        <v>5023.76</v>
      </c>
      <c r="I37" s="9">
        <v>4915</v>
      </c>
      <c r="J37" s="4">
        <v>1.01</v>
      </c>
      <c r="K37" s="4" t="s">
        <v>9</v>
      </c>
      <c r="L37" s="4" t="s">
        <v>30</v>
      </c>
      <c r="M37" s="4" t="s">
        <v>15</v>
      </c>
      <c r="N37" s="11">
        <v>4866.34</v>
      </c>
    </row>
    <row r="38" spans="1:14">
      <c r="A38" s="9">
        <v>4823</v>
      </c>
      <c r="B38" s="5">
        <v>1.05</v>
      </c>
      <c r="C38" s="4" t="s">
        <v>9</v>
      </c>
      <c r="D38" s="4" t="s">
        <v>29</v>
      </c>
      <c r="E38" s="4" t="s">
        <v>14</v>
      </c>
      <c r="F38" s="11">
        <v>4593.33</v>
      </c>
      <c r="I38" s="9">
        <v>4436</v>
      </c>
      <c r="J38" s="4">
        <v>1.01</v>
      </c>
      <c r="K38" s="4" t="s">
        <v>9</v>
      </c>
      <c r="L38" s="4" t="s">
        <v>30</v>
      </c>
      <c r="M38" s="4" t="s">
        <v>14</v>
      </c>
      <c r="N38" s="11">
        <v>4392.08</v>
      </c>
    </row>
    <row r="39" spans="1:14">
      <c r="A39" s="9">
        <v>4829</v>
      </c>
      <c r="B39" s="5">
        <v>1</v>
      </c>
      <c r="C39" s="4" t="s">
        <v>9</v>
      </c>
      <c r="D39" s="4" t="s">
        <v>29</v>
      </c>
      <c r="E39" s="4" t="s">
        <v>14</v>
      </c>
      <c r="F39" s="11">
        <v>4829</v>
      </c>
      <c r="I39" s="9">
        <v>4437</v>
      </c>
      <c r="J39" s="4">
        <v>1.01</v>
      </c>
      <c r="K39" s="4" t="s">
        <v>9</v>
      </c>
      <c r="L39" s="4" t="s">
        <v>30</v>
      </c>
      <c r="M39" s="4" t="s">
        <v>14</v>
      </c>
      <c r="N39" s="11">
        <v>4393.07</v>
      </c>
    </row>
    <row r="40" spans="1:14">
      <c r="A40" s="9">
        <v>4848</v>
      </c>
      <c r="B40" s="5">
        <v>1.01</v>
      </c>
      <c r="C40" s="4" t="s">
        <v>9</v>
      </c>
      <c r="D40" s="4" t="s">
        <v>29</v>
      </c>
      <c r="E40" s="4" t="s">
        <v>14</v>
      </c>
      <c r="F40" s="11">
        <v>4800</v>
      </c>
      <c r="I40" s="9">
        <v>4639</v>
      </c>
      <c r="J40" s="4">
        <v>1.01</v>
      </c>
      <c r="K40" s="4" t="s">
        <v>9</v>
      </c>
      <c r="L40" s="4" t="s">
        <v>30</v>
      </c>
      <c r="M40" s="4" t="s">
        <v>14</v>
      </c>
      <c r="N40" s="11">
        <v>4593.07</v>
      </c>
    </row>
    <row r="41" spans="1:14">
      <c r="A41" s="9">
        <v>5562</v>
      </c>
      <c r="B41" s="5">
        <v>1.01</v>
      </c>
      <c r="C41" s="4" t="s">
        <v>9</v>
      </c>
      <c r="D41" s="4" t="s">
        <v>29</v>
      </c>
      <c r="E41" s="4" t="s">
        <v>16</v>
      </c>
      <c r="F41" s="11">
        <v>5506.93</v>
      </c>
      <c r="I41" s="9">
        <v>4614</v>
      </c>
      <c r="J41" s="4">
        <v>1.01</v>
      </c>
      <c r="K41" s="4" t="s">
        <v>9</v>
      </c>
      <c r="L41" s="4" t="s">
        <v>30</v>
      </c>
      <c r="M41" s="4" t="s">
        <v>16</v>
      </c>
      <c r="N41" s="11">
        <v>4568.32</v>
      </c>
    </row>
    <row r="42" spans="1:14">
      <c r="A42" s="9">
        <v>6020</v>
      </c>
      <c r="B42" s="5">
        <v>1</v>
      </c>
      <c r="C42" s="4" t="s">
        <v>9</v>
      </c>
      <c r="D42" s="4" t="s">
        <v>29</v>
      </c>
      <c r="E42" s="4" t="s">
        <v>16</v>
      </c>
      <c r="F42" s="11">
        <v>6020</v>
      </c>
      <c r="I42" s="9">
        <v>4974</v>
      </c>
      <c r="J42" s="4">
        <v>1.03</v>
      </c>
      <c r="K42" s="4" t="s">
        <v>9</v>
      </c>
      <c r="L42" s="4" t="s">
        <v>30</v>
      </c>
      <c r="M42" s="4" t="s">
        <v>16</v>
      </c>
      <c r="N42" s="11">
        <v>4829.13</v>
      </c>
    </row>
    <row r="43" spans="1:14">
      <c r="A43" s="9">
        <v>6547</v>
      </c>
      <c r="B43" s="5">
        <v>1.01</v>
      </c>
      <c r="C43" s="4" t="s">
        <v>9</v>
      </c>
      <c r="D43" s="4" t="s">
        <v>29</v>
      </c>
      <c r="E43" s="4" t="s">
        <v>16</v>
      </c>
      <c r="F43" s="11">
        <v>6482.18</v>
      </c>
      <c r="I43" s="9">
        <v>5304</v>
      </c>
      <c r="J43" s="4">
        <v>1.01</v>
      </c>
      <c r="K43" s="4" t="s">
        <v>9</v>
      </c>
      <c r="L43" s="4" t="s">
        <v>30</v>
      </c>
      <c r="M43" s="4" t="s">
        <v>16</v>
      </c>
      <c r="N43" s="11">
        <v>5251.49</v>
      </c>
    </row>
    <row r="44" spans="1:14">
      <c r="A44" s="9">
        <v>6048</v>
      </c>
      <c r="B44" s="5">
        <v>1.01</v>
      </c>
      <c r="C44" s="4" t="s">
        <v>9</v>
      </c>
      <c r="D44" s="4" t="s">
        <v>29</v>
      </c>
      <c r="E44" s="4" t="s">
        <v>17</v>
      </c>
      <c r="F44" s="11">
        <v>5988.12</v>
      </c>
      <c r="I44" s="9">
        <v>5395</v>
      </c>
      <c r="J44" s="4">
        <v>1.07</v>
      </c>
      <c r="K44" s="4" t="s">
        <v>9</v>
      </c>
      <c r="L44" s="4" t="s">
        <v>30</v>
      </c>
      <c r="M44" s="4" t="s">
        <v>17</v>
      </c>
      <c r="N44" s="11">
        <v>5042.0600000000004</v>
      </c>
    </row>
    <row r="45" spans="1:14">
      <c r="A45" s="9">
        <v>6120</v>
      </c>
      <c r="B45" s="5">
        <v>1.01</v>
      </c>
      <c r="C45" s="4" t="s">
        <v>9</v>
      </c>
      <c r="D45" s="4" t="s">
        <v>29</v>
      </c>
      <c r="E45" s="4" t="s">
        <v>17</v>
      </c>
      <c r="F45" s="11">
        <v>6059.41</v>
      </c>
      <c r="I45" s="9">
        <v>4667</v>
      </c>
      <c r="J45" s="4">
        <v>1.03</v>
      </c>
      <c r="K45" s="4" t="s">
        <v>9</v>
      </c>
      <c r="L45" s="4" t="s">
        <v>30</v>
      </c>
      <c r="M45" s="4" t="s">
        <v>17</v>
      </c>
      <c r="N45" s="11">
        <v>4531.07</v>
      </c>
    </row>
    <row r="46" spans="1:14">
      <c r="A46" s="9">
        <v>6239</v>
      </c>
      <c r="B46" s="5">
        <v>1.01</v>
      </c>
      <c r="C46" s="4" t="s">
        <v>9</v>
      </c>
      <c r="D46" s="4" t="s">
        <v>29</v>
      </c>
      <c r="E46" s="4" t="s">
        <v>17</v>
      </c>
      <c r="F46" s="11">
        <v>6177.23</v>
      </c>
      <c r="I46" s="9">
        <v>4924</v>
      </c>
      <c r="J46" s="4">
        <v>1</v>
      </c>
      <c r="K46" s="4" t="s">
        <v>9</v>
      </c>
      <c r="L46" s="4" t="s">
        <v>30</v>
      </c>
      <c r="M46" s="4" t="s">
        <v>17</v>
      </c>
      <c r="N46" s="11">
        <v>4924</v>
      </c>
    </row>
    <row r="47" spans="1:14">
      <c r="A47" s="9">
        <v>7754</v>
      </c>
      <c r="B47" s="5">
        <v>1.07</v>
      </c>
      <c r="C47" s="4" t="s">
        <v>9</v>
      </c>
      <c r="D47" s="4" t="s">
        <v>29</v>
      </c>
      <c r="E47" s="4" t="s">
        <v>18</v>
      </c>
      <c r="F47" s="11">
        <v>7246.73</v>
      </c>
      <c r="I47" s="9">
        <v>8986</v>
      </c>
      <c r="J47" s="4">
        <v>1.25</v>
      </c>
      <c r="K47" s="4" t="s">
        <v>9</v>
      </c>
      <c r="L47" s="4" t="s">
        <v>30</v>
      </c>
      <c r="M47" s="4" t="s">
        <v>18</v>
      </c>
      <c r="N47" s="11">
        <v>7188.8</v>
      </c>
    </row>
    <row r="48" spans="1:14">
      <c r="A48" s="9">
        <v>7222</v>
      </c>
      <c r="B48" s="5">
        <v>1.01</v>
      </c>
      <c r="C48" s="4" t="s">
        <v>9</v>
      </c>
      <c r="D48" s="4" t="s">
        <v>29</v>
      </c>
      <c r="E48" s="4" t="s">
        <v>18</v>
      </c>
      <c r="F48" s="11">
        <v>7150.5</v>
      </c>
      <c r="I48" s="9">
        <v>6010</v>
      </c>
      <c r="J48" s="4">
        <v>1.01</v>
      </c>
      <c r="K48" s="4" t="s">
        <v>9</v>
      </c>
      <c r="L48" s="4" t="s">
        <v>30</v>
      </c>
      <c r="M48" s="4" t="s">
        <v>18</v>
      </c>
      <c r="N48" s="11">
        <v>5950.5</v>
      </c>
    </row>
    <row r="49" spans="1:14">
      <c r="A49" s="9">
        <v>7347</v>
      </c>
      <c r="B49" s="5">
        <v>1.02</v>
      </c>
      <c r="C49" s="4" t="s">
        <v>9</v>
      </c>
      <c r="D49" s="4" t="s">
        <v>29</v>
      </c>
      <c r="E49" s="4" t="s">
        <v>18</v>
      </c>
      <c r="F49" s="11">
        <v>7202.94</v>
      </c>
      <c r="I49" s="9">
        <v>6329</v>
      </c>
      <c r="J49" s="4">
        <v>1.01</v>
      </c>
      <c r="K49" s="4" t="s">
        <v>9</v>
      </c>
      <c r="L49" s="4" t="s">
        <v>30</v>
      </c>
      <c r="M49" s="4" t="s">
        <v>18</v>
      </c>
      <c r="N49" s="11">
        <v>6266.34</v>
      </c>
    </row>
    <row r="52" spans="1:14">
      <c r="A52" s="154" t="s">
        <v>1</v>
      </c>
      <c r="B52" s="155"/>
      <c r="C52" s="155"/>
      <c r="D52" s="155"/>
      <c r="E52" s="155"/>
      <c r="F52" s="156"/>
      <c r="I52" s="154" t="s">
        <v>2</v>
      </c>
      <c r="J52" s="155"/>
      <c r="K52" s="155"/>
      <c r="L52" s="155"/>
      <c r="M52" s="155"/>
      <c r="N52" s="156"/>
    </row>
    <row r="53" spans="1:14">
      <c r="A53" s="3" t="s">
        <v>3</v>
      </c>
      <c r="B53" s="3" t="s">
        <v>4</v>
      </c>
      <c r="C53" s="3" t="s">
        <v>5</v>
      </c>
      <c r="D53" s="3" t="s">
        <v>6</v>
      </c>
      <c r="E53" s="3" t="s">
        <v>7</v>
      </c>
      <c r="F53" s="3" t="s">
        <v>8</v>
      </c>
      <c r="G53" s="14"/>
      <c r="H53" s="14"/>
      <c r="I53" s="3" t="s">
        <v>3</v>
      </c>
      <c r="J53" s="3" t="s">
        <v>4</v>
      </c>
      <c r="K53" s="3" t="s">
        <v>5</v>
      </c>
      <c r="L53" s="3" t="s">
        <v>6</v>
      </c>
      <c r="M53" s="3" t="s">
        <v>7</v>
      </c>
      <c r="N53" s="3" t="s">
        <v>8</v>
      </c>
    </row>
    <row r="54" spans="1:14">
      <c r="A54" s="9">
        <v>3340</v>
      </c>
      <c r="B54" s="8">
        <v>1</v>
      </c>
      <c r="C54" s="1" t="s">
        <v>9</v>
      </c>
      <c r="D54" s="1" t="s">
        <v>10</v>
      </c>
      <c r="E54" s="1" t="s">
        <v>11</v>
      </c>
      <c r="F54" s="11">
        <f t="shared" ref="F54:F74" si="0">A54/B54</f>
        <v>3340</v>
      </c>
      <c r="I54" s="9">
        <v>3210</v>
      </c>
      <c r="J54" s="8">
        <v>1</v>
      </c>
      <c r="K54" s="1" t="s">
        <v>9</v>
      </c>
      <c r="L54" s="1" t="s">
        <v>12</v>
      </c>
      <c r="M54" s="1" t="s">
        <v>11</v>
      </c>
      <c r="N54" s="11">
        <f t="shared" ref="N54:N74" si="1">I54/J54</f>
        <v>3210</v>
      </c>
    </row>
    <row r="55" spans="1:14">
      <c r="A55" s="9">
        <v>3620</v>
      </c>
      <c r="B55" s="8">
        <v>1</v>
      </c>
      <c r="C55" s="1" t="s">
        <v>9</v>
      </c>
      <c r="D55" s="1" t="s">
        <v>10</v>
      </c>
      <c r="E55" s="1" t="s">
        <v>11</v>
      </c>
      <c r="F55" s="11">
        <f t="shared" si="0"/>
        <v>3620</v>
      </c>
      <c r="I55" s="9">
        <v>3550</v>
      </c>
      <c r="J55" s="8">
        <v>1</v>
      </c>
      <c r="K55" s="1" t="s">
        <v>9</v>
      </c>
      <c r="L55" s="1" t="s">
        <v>12</v>
      </c>
      <c r="M55" s="1" t="s">
        <v>11</v>
      </c>
      <c r="N55" s="11">
        <f t="shared" si="1"/>
        <v>3550</v>
      </c>
    </row>
    <row r="56" spans="1:14">
      <c r="A56" s="9">
        <v>2160</v>
      </c>
      <c r="B56" s="8">
        <v>1</v>
      </c>
      <c r="C56" s="1" t="s">
        <v>9</v>
      </c>
      <c r="D56" s="1" t="s">
        <v>10</v>
      </c>
      <c r="E56" s="1" t="s">
        <v>11</v>
      </c>
      <c r="F56" s="11">
        <f t="shared" si="0"/>
        <v>2160</v>
      </c>
      <c r="I56" s="9">
        <v>3160</v>
      </c>
      <c r="J56" s="8">
        <v>1</v>
      </c>
      <c r="K56" s="1" t="s">
        <v>9</v>
      </c>
      <c r="L56" s="1" t="s">
        <v>12</v>
      </c>
      <c r="M56" s="1" t="s">
        <v>11</v>
      </c>
      <c r="N56" s="11">
        <f t="shared" si="1"/>
        <v>3160</v>
      </c>
    </row>
    <row r="57" spans="1:14">
      <c r="A57" s="9">
        <v>3740</v>
      </c>
      <c r="B57" s="8">
        <v>1</v>
      </c>
      <c r="C57" s="1" t="s">
        <v>9</v>
      </c>
      <c r="D57" s="1" t="s">
        <v>10</v>
      </c>
      <c r="E57" s="1" t="s">
        <v>13</v>
      </c>
      <c r="F57" s="11">
        <f t="shared" si="0"/>
        <v>3740</v>
      </c>
      <c r="I57" s="9">
        <v>4090</v>
      </c>
      <c r="J57" s="8">
        <v>1</v>
      </c>
      <c r="K57" s="1" t="s">
        <v>9</v>
      </c>
      <c r="L57" s="1" t="s">
        <v>12</v>
      </c>
      <c r="M57" s="1" t="s">
        <v>13</v>
      </c>
      <c r="N57" s="11">
        <f t="shared" si="1"/>
        <v>4090</v>
      </c>
    </row>
    <row r="58" spans="1:14">
      <c r="A58" s="9">
        <v>3410</v>
      </c>
      <c r="B58" s="8">
        <v>1</v>
      </c>
      <c r="C58" s="1" t="s">
        <v>9</v>
      </c>
      <c r="D58" s="1" t="s">
        <v>10</v>
      </c>
      <c r="E58" s="1" t="s">
        <v>13</v>
      </c>
      <c r="F58" s="11">
        <f t="shared" si="0"/>
        <v>3410</v>
      </c>
      <c r="I58" s="9">
        <v>4390</v>
      </c>
      <c r="J58" s="8">
        <v>1.25</v>
      </c>
      <c r="K58" s="1" t="s">
        <v>9</v>
      </c>
      <c r="L58" s="1" t="s">
        <v>12</v>
      </c>
      <c r="M58" s="1" t="s">
        <v>13</v>
      </c>
      <c r="N58" s="11">
        <f t="shared" si="1"/>
        <v>3512</v>
      </c>
    </row>
    <row r="59" spans="1:14">
      <c r="A59" s="9">
        <v>4420</v>
      </c>
      <c r="B59" s="8">
        <v>1</v>
      </c>
      <c r="C59" s="1" t="s">
        <v>9</v>
      </c>
      <c r="D59" s="1" t="s">
        <v>10</v>
      </c>
      <c r="E59" s="1" t="s">
        <v>13</v>
      </c>
      <c r="F59" s="11">
        <f t="shared" si="0"/>
        <v>4420</v>
      </c>
      <c r="I59" s="9">
        <v>3650</v>
      </c>
      <c r="J59" s="8">
        <v>1</v>
      </c>
      <c r="K59" s="1" t="s">
        <v>9</v>
      </c>
      <c r="L59" s="1" t="s">
        <v>12</v>
      </c>
      <c r="M59" s="1" t="s">
        <v>13</v>
      </c>
      <c r="N59" s="11">
        <f t="shared" si="1"/>
        <v>3650</v>
      </c>
    </row>
    <row r="60" spans="1:14">
      <c r="A60" s="9">
        <v>5680</v>
      </c>
      <c r="B60" s="8">
        <v>1</v>
      </c>
      <c r="C60" s="1" t="s">
        <v>9</v>
      </c>
      <c r="D60" s="1" t="s">
        <v>10</v>
      </c>
      <c r="E60" s="1" t="s">
        <v>14</v>
      </c>
      <c r="F60" s="11">
        <f t="shared" si="0"/>
        <v>5680</v>
      </c>
      <c r="I60" s="9">
        <v>5210</v>
      </c>
      <c r="J60" s="8">
        <v>1.23</v>
      </c>
      <c r="K60" s="1" t="s">
        <v>9</v>
      </c>
      <c r="L60" s="1" t="s">
        <v>12</v>
      </c>
      <c r="M60" s="1" t="s">
        <v>14</v>
      </c>
      <c r="N60" s="11">
        <f t="shared" si="1"/>
        <v>4235.7723577235774</v>
      </c>
    </row>
    <row r="61" spans="1:14">
      <c r="A61" s="9">
        <v>5140</v>
      </c>
      <c r="B61" s="8">
        <v>1.01</v>
      </c>
      <c r="C61" s="1" t="s">
        <v>9</v>
      </c>
      <c r="D61" s="1" t="s">
        <v>10</v>
      </c>
      <c r="E61" s="1" t="s">
        <v>14</v>
      </c>
      <c r="F61" s="11">
        <f t="shared" si="0"/>
        <v>5089.1089108910892</v>
      </c>
      <c r="I61" s="9">
        <v>4150</v>
      </c>
      <c r="J61" s="8">
        <v>1</v>
      </c>
      <c r="K61" s="1" t="s">
        <v>9</v>
      </c>
      <c r="L61" s="1" t="s">
        <v>12</v>
      </c>
      <c r="M61" s="1" t="s">
        <v>14</v>
      </c>
      <c r="N61" s="11">
        <f t="shared" si="1"/>
        <v>4150</v>
      </c>
    </row>
    <row r="62" spans="1:14">
      <c r="A62" s="9">
        <v>4910</v>
      </c>
      <c r="B62" s="8">
        <v>1</v>
      </c>
      <c r="C62" s="1" t="s">
        <v>9</v>
      </c>
      <c r="D62" s="1" t="s">
        <v>10</v>
      </c>
      <c r="E62" s="1" t="s">
        <v>14</v>
      </c>
      <c r="F62" s="11">
        <f t="shared" si="0"/>
        <v>4910</v>
      </c>
      <c r="I62" s="9">
        <v>4690</v>
      </c>
      <c r="J62" s="8">
        <v>1</v>
      </c>
      <c r="K62" s="1" t="s">
        <v>9</v>
      </c>
      <c r="L62" s="1" t="s">
        <v>12</v>
      </c>
      <c r="M62" s="1" t="s">
        <v>14</v>
      </c>
      <c r="N62" s="11">
        <f t="shared" si="1"/>
        <v>4690</v>
      </c>
    </row>
    <row r="63" spans="1:14">
      <c r="A63" s="9">
        <v>4480</v>
      </c>
      <c r="B63" s="8">
        <v>1.01</v>
      </c>
      <c r="C63" s="1" t="s">
        <v>9</v>
      </c>
      <c r="D63" s="1" t="s">
        <v>10</v>
      </c>
      <c r="E63" s="1" t="s">
        <v>15</v>
      </c>
      <c r="F63" s="11">
        <f t="shared" si="0"/>
        <v>4435.6435643564355</v>
      </c>
      <c r="I63" s="9">
        <v>3103</v>
      </c>
      <c r="J63" s="8">
        <v>1</v>
      </c>
      <c r="K63" s="1" t="s">
        <v>9</v>
      </c>
      <c r="L63" s="1" t="s">
        <v>12</v>
      </c>
      <c r="M63" s="1" t="s">
        <v>15</v>
      </c>
      <c r="N63" s="11">
        <f t="shared" si="1"/>
        <v>3103</v>
      </c>
    </row>
    <row r="64" spans="1:14">
      <c r="A64" s="9">
        <v>6240</v>
      </c>
      <c r="B64" s="8">
        <v>1</v>
      </c>
      <c r="C64" s="1" t="s">
        <v>9</v>
      </c>
      <c r="D64" s="1" t="s">
        <v>10</v>
      </c>
      <c r="E64" s="1" t="s">
        <v>15</v>
      </c>
      <c r="F64" s="11">
        <f t="shared" si="0"/>
        <v>6240</v>
      </c>
      <c r="I64" s="9">
        <v>3100</v>
      </c>
      <c r="J64" s="8">
        <v>1.01</v>
      </c>
      <c r="K64" s="1" t="s">
        <v>9</v>
      </c>
      <c r="L64" s="1" t="s">
        <v>12</v>
      </c>
      <c r="M64" s="1" t="s">
        <v>15</v>
      </c>
      <c r="N64" s="11">
        <f t="shared" si="1"/>
        <v>3069.3069306930693</v>
      </c>
    </row>
    <row r="65" spans="1:14">
      <c r="A65" s="9">
        <v>8080</v>
      </c>
      <c r="B65" s="8">
        <v>1.2</v>
      </c>
      <c r="C65" s="1" t="s">
        <v>9</v>
      </c>
      <c r="D65" s="1" t="s">
        <v>10</v>
      </c>
      <c r="E65" s="1" t="s">
        <v>15</v>
      </c>
      <c r="F65" s="11">
        <f t="shared" si="0"/>
        <v>6733.3333333333339</v>
      </c>
      <c r="I65" s="9">
        <v>3379</v>
      </c>
      <c r="J65" s="8">
        <v>1</v>
      </c>
      <c r="K65" s="1" t="s">
        <v>9</v>
      </c>
      <c r="L65" s="1" t="s">
        <v>12</v>
      </c>
      <c r="M65" s="1" t="s">
        <v>15</v>
      </c>
      <c r="N65" s="11">
        <f t="shared" si="1"/>
        <v>3379</v>
      </c>
    </row>
    <row r="66" spans="1:14">
      <c r="A66" s="9">
        <v>8880</v>
      </c>
      <c r="B66" s="8">
        <v>1.37</v>
      </c>
      <c r="C66" s="1" t="s">
        <v>9</v>
      </c>
      <c r="D66" s="1" t="s">
        <v>10</v>
      </c>
      <c r="E66" s="1" t="s">
        <v>16</v>
      </c>
      <c r="F66" s="11">
        <f t="shared" si="0"/>
        <v>6481.7518248175174</v>
      </c>
      <c r="I66" s="9">
        <v>4560</v>
      </c>
      <c r="J66" s="8">
        <v>1.02</v>
      </c>
      <c r="K66" s="1" t="s">
        <v>9</v>
      </c>
      <c r="L66" s="1" t="s">
        <v>12</v>
      </c>
      <c r="M66" s="1" t="s">
        <v>16</v>
      </c>
      <c r="N66" s="11">
        <f t="shared" si="1"/>
        <v>4470.588235294118</v>
      </c>
    </row>
    <row r="67" spans="1:14">
      <c r="A67" s="9">
        <v>6030</v>
      </c>
      <c r="B67" s="8">
        <v>1.01</v>
      </c>
      <c r="C67" s="1" t="s">
        <v>9</v>
      </c>
      <c r="D67" s="1" t="s">
        <v>10</v>
      </c>
      <c r="E67" s="1" t="s">
        <v>16</v>
      </c>
      <c r="F67" s="11">
        <f t="shared" si="0"/>
        <v>5970.2970297029706</v>
      </c>
      <c r="I67" s="9">
        <v>4710</v>
      </c>
      <c r="J67" s="8">
        <v>1</v>
      </c>
      <c r="K67" s="1" t="s">
        <v>9</v>
      </c>
      <c r="L67" s="1" t="s">
        <v>12</v>
      </c>
      <c r="M67" s="1" t="s">
        <v>16</v>
      </c>
      <c r="N67" s="11">
        <f t="shared" si="1"/>
        <v>4710</v>
      </c>
    </row>
    <row r="68" spans="1:14">
      <c r="A68" s="9">
        <v>6980</v>
      </c>
      <c r="B68" s="8">
        <v>1.08</v>
      </c>
      <c r="C68" s="1" t="s">
        <v>9</v>
      </c>
      <c r="D68" s="1" t="s">
        <v>10</v>
      </c>
      <c r="E68" s="1" t="s">
        <v>16</v>
      </c>
      <c r="F68" s="11">
        <f t="shared" si="0"/>
        <v>6462.9629629629626</v>
      </c>
      <c r="I68" s="9">
        <v>3276</v>
      </c>
      <c r="J68" s="8">
        <v>1.01</v>
      </c>
      <c r="K68" s="1" t="s">
        <v>9</v>
      </c>
      <c r="L68" s="1" t="s">
        <v>12</v>
      </c>
      <c r="M68" s="1" t="s">
        <v>16</v>
      </c>
      <c r="N68" s="11">
        <f t="shared" si="1"/>
        <v>3243.5643564356437</v>
      </c>
    </row>
    <row r="69" spans="1:14">
      <c r="A69" s="9">
        <v>9670</v>
      </c>
      <c r="B69" s="8">
        <v>1.4</v>
      </c>
      <c r="C69" s="1" t="s">
        <v>9</v>
      </c>
      <c r="D69" s="1" t="s">
        <v>10</v>
      </c>
      <c r="E69" s="1" t="s">
        <v>17</v>
      </c>
      <c r="F69" s="11">
        <f t="shared" si="0"/>
        <v>6907.1428571428578</v>
      </c>
      <c r="I69" s="9">
        <v>7840</v>
      </c>
      <c r="J69" s="8">
        <v>1.22</v>
      </c>
      <c r="K69" s="1" t="s">
        <v>9</v>
      </c>
      <c r="L69" s="1" t="s">
        <v>12</v>
      </c>
      <c r="M69" s="1" t="s">
        <v>17</v>
      </c>
      <c r="N69" s="11">
        <f t="shared" si="1"/>
        <v>6426.2295081967213</v>
      </c>
    </row>
    <row r="70" spans="1:14">
      <c r="A70" s="9">
        <v>9660</v>
      </c>
      <c r="B70" s="8">
        <v>1.28</v>
      </c>
      <c r="C70" s="1" t="s">
        <v>9</v>
      </c>
      <c r="D70" s="1" t="s">
        <v>10</v>
      </c>
      <c r="E70" s="1" t="s">
        <v>17</v>
      </c>
      <c r="F70" s="11">
        <f t="shared" si="0"/>
        <v>7546.875</v>
      </c>
      <c r="I70" s="9">
        <v>5330</v>
      </c>
      <c r="J70" s="8">
        <v>1.01</v>
      </c>
      <c r="K70" s="1" t="s">
        <v>9</v>
      </c>
      <c r="L70" s="1" t="s">
        <v>12</v>
      </c>
      <c r="M70" s="1" t="s">
        <v>17</v>
      </c>
      <c r="N70" s="11">
        <f t="shared" si="1"/>
        <v>5277.227722772277</v>
      </c>
    </row>
    <row r="71" spans="1:14">
      <c r="A71" s="9">
        <v>8010</v>
      </c>
      <c r="B71" s="8">
        <v>1.2</v>
      </c>
      <c r="C71" s="1" t="s">
        <v>9</v>
      </c>
      <c r="D71" s="1" t="s">
        <v>10</v>
      </c>
      <c r="E71" s="1" t="s">
        <v>17</v>
      </c>
      <c r="F71" s="11">
        <f t="shared" si="0"/>
        <v>6675</v>
      </c>
      <c r="I71" s="9">
        <v>3341</v>
      </c>
      <c r="J71" s="8">
        <v>1.01</v>
      </c>
      <c r="K71" s="1" t="s">
        <v>9</v>
      </c>
      <c r="L71" s="1" t="s">
        <v>12</v>
      </c>
      <c r="M71" s="1" t="s">
        <v>17</v>
      </c>
      <c r="N71" s="11">
        <f t="shared" si="1"/>
        <v>3307.9207920792078</v>
      </c>
    </row>
    <row r="72" spans="1:14">
      <c r="A72" s="9">
        <v>5196</v>
      </c>
      <c r="B72" s="8">
        <v>1.01</v>
      </c>
      <c r="C72" s="1" t="s">
        <v>9</v>
      </c>
      <c r="D72" s="1" t="s">
        <v>10</v>
      </c>
      <c r="E72" s="1" t="s">
        <v>18</v>
      </c>
      <c r="F72" s="11">
        <f t="shared" si="0"/>
        <v>5144.5544554455446</v>
      </c>
      <c r="I72" s="9">
        <v>9260</v>
      </c>
      <c r="J72" s="8">
        <v>1.46</v>
      </c>
      <c r="K72" s="1" t="s">
        <v>9</v>
      </c>
      <c r="L72" s="1" t="s">
        <v>12</v>
      </c>
      <c r="M72" s="1" t="s">
        <v>18</v>
      </c>
      <c r="N72" s="11">
        <f t="shared" si="1"/>
        <v>6342.465753424658</v>
      </c>
    </row>
    <row r="73" spans="1:14">
      <c r="A73" s="9">
        <v>5363</v>
      </c>
      <c r="B73" s="8">
        <v>1</v>
      </c>
      <c r="C73" s="1" t="s">
        <v>9</v>
      </c>
      <c r="D73" s="1" t="s">
        <v>10</v>
      </c>
      <c r="E73" s="1" t="s">
        <v>18</v>
      </c>
      <c r="F73" s="11">
        <f t="shared" si="0"/>
        <v>5363</v>
      </c>
      <c r="I73" s="9">
        <v>5882</v>
      </c>
      <c r="J73" s="8">
        <v>1.2</v>
      </c>
      <c r="K73" s="1" t="s">
        <v>9</v>
      </c>
      <c r="L73" s="1" t="s">
        <v>12</v>
      </c>
      <c r="M73" s="1" t="s">
        <v>18</v>
      </c>
      <c r="N73" s="11">
        <f t="shared" si="1"/>
        <v>4901.666666666667</v>
      </c>
    </row>
    <row r="74" spans="1:14">
      <c r="A74" s="9">
        <v>6006</v>
      </c>
      <c r="B74" s="1">
        <v>1.1499999999999999</v>
      </c>
      <c r="C74" s="1" t="s">
        <v>9</v>
      </c>
      <c r="D74" s="1" t="s">
        <v>10</v>
      </c>
      <c r="E74" s="1" t="s">
        <v>18</v>
      </c>
      <c r="F74" s="11">
        <f t="shared" si="0"/>
        <v>5222.608695652174</v>
      </c>
      <c r="I74" s="9">
        <v>4305</v>
      </c>
      <c r="J74" s="8">
        <v>1.01</v>
      </c>
      <c r="K74" s="1" t="s">
        <v>9</v>
      </c>
      <c r="L74" s="1" t="s">
        <v>12</v>
      </c>
      <c r="M74" s="1" t="s">
        <v>18</v>
      </c>
      <c r="N74" s="11">
        <f t="shared" si="1"/>
        <v>4262.3762376237628</v>
      </c>
    </row>
    <row r="75" spans="1:14">
      <c r="A75" s="9"/>
      <c r="B75" s="1"/>
      <c r="C75" s="1"/>
      <c r="D75" s="1"/>
      <c r="E75" s="1"/>
      <c r="F75" s="11"/>
      <c r="I75" s="9"/>
      <c r="J75" s="8"/>
      <c r="K75" s="1"/>
      <c r="L75" s="1"/>
      <c r="M75" s="1"/>
      <c r="N75" s="11"/>
    </row>
    <row r="76" spans="1:14">
      <c r="A76" s="1"/>
      <c r="B76" s="1"/>
      <c r="C76" s="1"/>
      <c r="D76" s="1"/>
      <c r="E76" s="1"/>
      <c r="F76" s="1"/>
      <c r="J76"/>
      <c r="N76"/>
    </row>
    <row r="77" spans="1:14">
      <c r="A77" s="154" t="s">
        <v>19</v>
      </c>
      <c r="B77" s="155"/>
      <c r="C77" s="155"/>
      <c r="D77" s="155"/>
      <c r="E77" s="155"/>
      <c r="F77" s="156"/>
      <c r="I77" s="154" t="s">
        <v>20</v>
      </c>
      <c r="J77" s="155"/>
      <c r="K77" s="155"/>
      <c r="L77" s="155"/>
      <c r="M77" s="155"/>
      <c r="N77" s="156"/>
    </row>
    <row r="78" spans="1:14">
      <c r="A78" s="3" t="s">
        <v>3</v>
      </c>
      <c r="B78" s="3" t="s">
        <v>4</v>
      </c>
      <c r="C78" s="3" t="s">
        <v>5</v>
      </c>
      <c r="D78" s="3" t="s">
        <v>6</v>
      </c>
      <c r="E78" s="3" t="s">
        <v>7</v>
      </c>
      <c r="F78" s="3" t="s">
        <v>8</v>
      </c>
      <c r="G78" s="14"/>
      <c r="H78" s="14"/>
      <c r="I78" s="3" t="s">
        <v>3</v>
      </c>
      <c r="J78" s="3" t="s">
        <v>4</v>
      </c>
      <c r="K78" s="3" t="s">
        <v>5</v>
      </c>
      <c r="L78" s="3" t="s">
        <v>6</v>
      </c>
      <c r="M78" s="3" t="s">
        <v>7</v>
      </c>
      <c r="N78" s="3" t="s">
        <v>8</v>
      </c>
    </row>
    <row r="79" spans="1:14">
      <c r="A79" s="9">
        <v>2780</v>
      </c>
      <c r="B79" s="8">
        <v>1</v>
      </c>
      <c r="C79" s="1" t="s">
        <v>9</v>
      </c>
      <c r="D79" s="1" t="s">
        <v>21</v>
      </c>
      <c r="E79" s="1" t="s">
        <v>11</v>
      </c>
      <c r="F79" s="11">
        <f t="shared" ref="F79:F99" si="2">A79/B79</f>
        <v>2780</v>
      </c>
      <c r="I79" s="9">
        <v>1545</v>
      </c>
      <c r="J79" s="8">
        <v>1.01</v>
      </c>
      <c r="K79" s="1" t="s">
        <v>9</v>
      </c>
      <c r="L79" s="1" t="s">
        <v>22</v>
      </c>
      <c r="M79" s="1" t="s">
        <v>11</v>
      </c>
      <c r="N79" s="11">
        <f t="shared" ref="N79:N99" si="3">I79/J79</f>
        <v>1529.7029702970297</v>
      </c>
    </row>
    <row r="80" spans="1:14">
      <c r="A80" s="9">
        <v>3620</v>
      </c>
      <c r="B80" s="8">
        <v>1.2</v>
      </c>
      <c r="C80" s="1" t="s">
        <v>9</v>
      </c>
      <c r="D80" s="1" t="s">
        <v>21</v>
      </c>
      <c r="E80" s="1" t="s">
        <v>11</v>
      </c>
      <c r="F80" s="11">
        <f t="shared" si="2"/>
        <v>3016.666666666667</v>
      </c>
      <c r="I80" s="9">
        <v>1559</v>
      </c>
      <c r="J80" s="8">
        <v>1.01</v>
      </c>
      <c r="K80" s="1" t="s">
        <v>9</v>
      </c>
      <c r="L80" s="1" t="s">
        <v>22</v>
      </c>
      <c r="M80" s="1" t="s">
        <v>11</v>
      </c>
      <c r="N80" s="11">
        <f t="shared" si="3"/>
        <v>1543.5643564356435</v>
      </c>
    </row>
    <row r="81" spans="1:14">
      <c r="A81" s="9">
        <v>3970</v>
      </c>
      <c r="B81" s="8">
        <v>1.21</v>
      </c>
      <c r="C81" s="1" t="s">
        <v>9</v>
      </c>
      <c r="D81" s="1" t="s">
        <v>21</v>
      </c>
      <c r="E81" s="1" t="s">
        <v>11</v>
      </c>
      <c r="F81" s="11">
        <f t="shared" si="2"/>
        <v>3280.9917355371904</v>
      </c>
      <c r="I81" s="9">
        <v>1592</v>
      </c>
      <c r="J81" s="8">
        <v>1.03</v>
      </c>
      <c r="K81" s="1" t="s">
        <v>9</v>
      </c>
      <c r="L81" s="1" t="s">
        <v>22</v>
      </c>
      <c r="M81" s="1" t="s">
        <v>11</v>
      </c>
      <c r="N81" s="11">
        <f t="shared" si="3"/>
        <v>1545.6310679611649</v>
      </c>
    </row>
    <row r="82" spans="1:14">
      <c r="A82" s="9">
        <v>3070</v>
      </c>
      <c r="B82" s="8">
        <v>1</v>
      </c>
      <c r="C82" s="1" t="s">
        <v>9</v>
      </c>
      <c r="D82" s="1" t="s">
        <v>21</v>
      </c>
      <c r="E82" s="1" t="s">
        <v>13</v>
      </c>
      <c r="F82" s="11">
        <f t="shared" si="2"/>
        <v>3070</v>
      </c>
      <c r="I82" s="9">
        <v>1751</v>
      </c>
      <c r="J82" s="8">
        <v>1</v>
      </c>
      <c r="K82" s="1" t="s">
        <v>9</v>
      </c>
      <c r="L82" s="1" t="s">
        <v>22</v>
      </c>
      <c r="M82" s="1" t="s">
        <v>13</v>
      </c>
      <c r="N82" s="11">
        <f t="shared" si="3"/>
        <v>1751</v>
      </c>
    </row>
    <row r="83" spans="1:14">
      <c r="A83" s="9">
        <v>3510</v>
      </c>
      <c r="B83" s="8">
        <v>1.02</v>
      </c>
      <c r="C83" s="1" t="s">
        <v>9</v>
      </c>
      <c r="D83" s="1" t="s">
        <v>21</v>
      </c>
      <c r="E83" s="1" t="s">
        <v>13</v>
      </c>
      <c r="F83" s="11">
        <f t="shared" si="2"/>
        <v>3441.1764705882351</v>
      </c>
      <c r="I83" s="9">
        <v>2111</v>
      </c>
      <c r="J83" s="8">
        <v>1.01</v>
      </c>
      <c r="K83" s="1" t="s">
        <v>9</v>
      </c>
      <c r="L83" s="1" t="s">
        <v>22</v>
      </c>
      <c r="M83" s="1" t="s">
        <v>13</v>
      </c>
      <c r="N83" s="11">
        <f t="shared" si="3"/>
        <v>2090.09900990099</v>
      </c>
    </row>
    <row r="84" spans="1:14">
      <c r="A84" s="9">
        <v>3350</v>
      </c>
      <c r="B84" s="8">
        <v>1.01</v>
      </c>
      <c r="C84" s="1" t="s">
        <v>9</v>
      </c>
      <c r="D84" s="1" t="s">
        <v>21</v>
      </c>
      <c r="E84" s="1" t="s">
        <v>13</v>
      </c>
      <c r="F84" s="11">
        <f t="shared" si="2"/>
        <v>3316.8316831683169</v>
      </c>
      <c r="I84" s="9">
        <v>2180</v>
      </c>
      <c r="J84" s="8">
        <v>1.03</v>
      </c>
      <c r="K84" s="1" t="s">
        <v>9</v>
      </c>
      <c r="L84" s="1" t="s">
        <v>22</v>
      </c>
      <c r="M84" s="1" t="s">
        <v>13</v>
      </c>
      <c r="N84" s="11">
        <f t="shared" si="3"/>
        <v>2116.5048543689318</v>
      </c>
    </row>
    <row r="85" spans="1:14">
      <c r="A85" s="9">
        <v>3140</v>
      </c>
      <c r="B85" s="8">
        <v>1</v>
      </c>
      <c r="C85" s="1" t="s">
        <v>9</v>
      </c>
      <c r="D85" s="1" t="s">
        <v>21</v>
      </c>
      <c r="E85" s="1" t="s">
        <v>14</v>
      </c>
      <c r="F85" s="11">
        <f t="shared" si="2"/>
        <v>3140</v>
      </c>
      <c r="I85" s="9">
        <v>2051</v>
      </c>
      <c r="J85" s="8">
        <v>1.06</v>
      </c>
      <c r="K85" s="1" t="s">
        <v>9</v>
      </c>
      <c r="L85" s="1" t="s">
        <v>22</v>
      </c>
      <c r="M85" s="1" t="s">
        <v>14</v>
      </c>
      <c r="N85" s="11">
        <f t="shared" si="3"/>
        <v>1934.9056603773583</v>
      </c>
    </row>
    <row r="86" spans="1:14">
      <c r="A86" s="9">
        <v>3300</v>
      </c>
      <c r="B86" s="8">
        <v>1.02</v>
      </c>
      <c r="C86" s="1" t="s">
        <v>9</v>
      </c>
      <c r="D86" s="1" t="s">
        <v>21</v>
      </c>
      <c r="E86" s="1" t="s">
        <v>14</v>
      </c>
      <c r="F86" s="11">
        <f t="shared" si="2"/>
        <v>3235.2941176470586</v>
      </c>
      <c r="I86" s="9">
        <v>1699</v>
      </c>
      <c r="J86" s="8">
        <v>1.01</v>
      </c>
      <c r="K86" s="1" t="s">
        <v>9</v>
      </c>
      <c r="L86" s="1" t="s">
        <v>22</v>
      </c>
      <c r="M86" s="1" t="s">
        <v>14</v>
      </c>
      <c r="N86" s="11">
        <f t="shared" si="3"/>
        <v>1682.1782178217823</v>
      </c>
    </row>
    <row r="87" spans="1:14">
      <c r="A87" s="9">
        <v>3659</v>
      </c>
      <c r="B87" s="8">
        <v>1.06</v>
      </c>
      <c r="C87" s="1" t="s">
        <v>9</v>
      </c>
      <c r="D87" s="1" t="s">
        <v>21</v>
      </c>
      <c r="E87" s="1" t="s">
        <v>14</v>
      </c>
      <c r="F87" s="11">
        <f t="shared" si="2"/>
        <v>3451.8867924528299</v>
      </c>
      <c r="I87" s="9">
        <v>2028</v>
      </c>
      <c r="J87" s="8">
        <v>1</v>
      </c>
      <c r="K87" s="1" t="s">
        <v>9</v>
      </c>
      <c r="L87" s="1" t="s">
        <v>22</v>
      </c>
      <c r="M87" s="1" t="s">
        <v>14</v>
      </c>
      <c r="N87" s="11">
        <f t="shared" si="3"/>
        <v>2028</v>
      </c>
    </row>
    <row r="88" spans="1:14">
      <c r="A88" s="9">
        <v>3470</v>
      </c>
      <c r="B88" s="8">
        <v>1</v>
      </c>
      <c r="C88" s="1" t="s">
        <v>9</v>
      </c>
      <c r="D88" s="1" t="s">
        <v>21</v>
      </c>
      <c r="E88" s="1" t="s">
        <v>15</v>
      </c>
      <c r="F88" s="11">
        <f t="shared" si="2"/>
        <v>3470</v>
      </c>
      <c r="I88" s="9">
        <v>1712</v>
      </c>
      <c r="J88" s="8">
        <v>1</v>
      </c>
      <c r="K88" s="1" t="s">
        <v>9</v>
      </c>
      <c r="L88" s="1" t="s">
        <v>22</v>
      </c>
      <c r="M88" s="1" t="s">
        <v>15</v>
      </c>
      <c r="N88" s="11">
        <f t="shared" si="3"/>
        <v>1712</v>
      </c>
    </row>
    <row r="89" spans="1:14">
      <c r="A89" s="9">
        <v>2850</v>
      </c>
      <c r="B89" s="8">
        <v>1.01</v>
      </c>
      <c r="C89" s="1" t="s">
        <v>9</v>
      </c>
      <c r="D89" s="1" t="s">
        <v>21</v>
      </c>
      <c r="E89" s="1" t="s">
        <v>15</v>
      </c>
      <c r="F89" s="11">
        <f t="shared" si="2"/>
        <v>2821.7821782178216</v>
      </c>
      <c r="I89" s="9">
        <v>1832</v>
      </c>
      <c r="J89" s="8">
        <v>1</v>
      </c>
      <c r="K89" s="1" t="s">
        <v>9</v>
      </c>
      <c r="L89" s="1" t="s">
        <v>22</v>
      </c>
      <c r="M89" s="1" t="s">
        <v>15</v>
      </c>
      <c r="N89" s="11">
        <f t="shared" si="3"/>
        <v>1832</v>
      </c>
    </row>
    <row r="90" spans="1:14">
      <c r="A90" s="9">
        <v>2830</v>
      </c>
      <c r="B90" s="8">
        <v>1</v>
      </c>
      <c r="C90" s="1" t="s">
        <v>9</v>
      </c>
      <c r="D90" s="1" t="s">
        <v>21</v>
      </c>
      <c r="E90" s="1" t="s">
        <v>15</v>
      </c>
      <c r="F90" s="11">
        <f t="shared" si="2"/>
        <v>2830</v>
      </c>
      <c r="I90" s="9">
        <v>2077</v>
      </c>
      <c r="J90" s="8">
        <v>1.01</v>
      </c>
      <c r="K90" s="1" t="s">
        <v>9</v>
      </c>
      <c r="L90" s="1" t="s">
        <v>22</v>
      </c>
      <c r="M90" s="1" t="s">
        <v>15</v>
      </c>
      <c r="N90" s="11">
        <f t="shared" si="3"/>
        <v>2056.4356435643563</v>
      </c>
    </row>
    <row r="91" spans="1:14">
      <c r="A91" s="9">
        <v>2850</v>
      </c>
      <c r="B91" s="8">
        <v>1.01</v>
      </c>
      <c r="C91" s="1" t="s">
        <v>9</v>
      </c>
      <c r="D91" s="1" t="s">
        <v>21</v>
      </c>
      <c r="E91" s="1" t="s">
        <v>16</v>
      </c>
      <c r="F91" s="11">
        <f t="shared" si="2"/>
        <v>2821.7821782178216</v>
      </c>
      <c r="I91" s="9">
        <v>2072</v>
      </c>
      <c r="J91" s="8">
        <v>1.01</v>
      </c>
      <c r="K91" s="1" t="s">
        <v>9</v>
      </c>
      <c r="L91" s="1" t="s">
        <v>22</v>
      </c>
      <c r="M91" s="1" t="s">
        <v>16</v>
      </c>
      <c r="N91" s="11">
        <f t="shared" si="3"/>
        <v>2051.4851485148515</v>
      </c>
    </row>
    <row r="92" spans="1:14">
      <c r="A92" s="9">
        <v>4170</v>
      </c>
      <c r="B92" s="8">
        <v>1</v>
      </c>
      <c r="C92" s="1" t="s">
        <v>9</v>
      </c>
      <c r="D92" s="1" t="s">
        <v>21</v>
      </c>
      <c r="E92" s="1" t="s">
        <v>16</v>
      </c>
      <c r="F92" s="11">
        <f t="shared" si="2"/>
        <v>4170</v>
      </c>
      <c r="I92" s="9">
        <v>2229</v>
      </c>
      <c r="J92" s="8">
        <v>1.02</v>
      </c>
      <c r="K92" s="1" t="s">
        <v>9</v>
      </c>
      <c r="L92" s="1" t="s">
        <v>22</v>
      </c>
      <c r="M92" s="1" t="s">
        <v>16</v>
      </c>
      <c r="N92" s="11">
        <f t="shared" si="3"/>
        <v>2185.294117647059</v>
      </c>
    </row>
    <row r="93" spans="1:14">
      <c r="A93" s="9">
        <v>4420</v>
      </c>
      <c r="B93" s="8">
        <v>1.01</v>
      </c>
      <c r="C93" s="1" t="s">
        <v>9</v>
      </c>
      <c r="D93" s="1" t="s">
        <v>21</v>
      </c>
      <c r="E93" s="1" t="s">
        <v>16</v>
      </c>
      <c r="F93" s="11">
        <f t="shared" si="2"/>
        <v>4376.2376237623766</v>
      </c>
      <c r="I93" s="9">
        <v>2123</v>
      </c>
      <c r="J93" s="8">
        <v>1.01</v>
      </c>
      <c r="K93" s="1" t="s">
        <v>9</v>
      </c>
      <c r="L93" s="1" t="s">
        <v>22</v>
      </c>
      <c r="M93" s="1" t="s">
        <v>16</v>
      </c>
      <c r="N93" s="11">
        <f t="shared" si="3"/>
        <v>2101.9801980198022</v>
      </c>
    </row>
    <row r="94" spans="1:14">
      <c r="A94" s="9">
        <v>4070</v>
      </c>
      <c r="B94" s="8">
        <v>1.01</v>
      </c>
      <c r="C94" s="1" t="s">
        <v>9</v>
      </c>
      <c r="D94" s="1" t="s">
        <v>21</v>
      </c>
      <c r="E94" s="1" t="s">
        <v>17</v>
      </c>
      <c r="F94" s="11">
        <f t="shared" si="2"/>
        <v>4029.7029702970299</v>
      </c>
      <c r="I94" s="9">
        <v>2327</v>
      </c>
      <c r="J94" s="8">
        <v>1</v>
      </c>
      <c r="K94" s="1" t="s">
        <v>9</v>
      </c>
      <c r="L94" s="1" t="s">
        <v>22</v>
      </c>
      <c r="M94" s="1" t="s">
        <v>17</v>
      </c>
      <c r="N94" s="11">
        <f t="shared" si="3"/>
        <v>2327</v>
      </c>
    </row>
    <row r="95" spans="1:14">
      <c r="A95" s="9">
        <v>2792</v>
      </c>
      <c r="B95" s="8">
        <v>1.01</v>
      </c>
      <c r="C95" s="1" t="s">
        <v>9</v>
      </c>
      <c r="D95" s="1" t="s">
        <v>21</v>
      </c>
      <c r="E95" s="1" t="s">
        <v>17</v>
      </c>
      <c r="F95" s="11">
        <f t="shared" si="2"/>
        <v>2764.3564356435645</v>
      </c>
      <c r="I95" s="9">
        <v>2817</v>
      </c>
      <c r="J95" s="8">
        <v>1.2</v>
      </c>
      <c r="K95" s="1" t="s">
        <v>9</v>
      </c>
      <c r="L95" s="1" t="s">
        <v>22</v>
      </c>
      <c r="M95" s="1" t="s">
        <v>17</v>
      </c>
      <c r="N95" s="11">
        <f t="shared" si="3"/>
        <v>2347.5</v>
      </c>
    </row>
    <row r="96" spans="1:14">
      <c r="A96" s="9">
        <v>2725</v>
      </c>
      <c r="B96" s="8">
        <v>1.01</v>
      </c>
      <c r="C96" s="1" t="s">
        <v>9</v>
      </c>
      <c r="D96" s="1" t="s">
        <v>21</v>
      </c>
      <c r="E96" s="1" t="s">
        <v>17</v>
      </c>
      <c r="F96" s="11">
        <f t="shared" si="2"/>
        <v>2698.0198019801978</v>
      </c>
      <c r="I96" s="9">
        <v>2722</v>
      </c>
      <c r="J96" s="8">
        <v>1.01</v>
      </c>
      <c r="K96" s="1" t="s">
        <v>9</v>
      </c>
      <c r="L96" s="1" t="s">
        <v>22</v>
      </c>
      <c r="M96" s="1" t="s">
        <v>17</v>
      </c>
      <c r="N96" s="11">
        <f t="shared" si="3"/>
        <v>2695.0495049504952</v>
      </c>
    </row>
    <row r="97" spans="1:14">
      <c r="A97" s="9">
        <v>3333</v>
      </c>
      <c r="B97" s="8">
        <v>1.01</v>
      </c>
      <c r="C97" s="1" t="s">
        <v>9</v>
      </c>
      <c r="D97" s="1" t="s">
        <v>21</v>
      </c>
      <c r="E97" s="1" t="s">
        <v>18</v>
      </c>
      <c r="F97" s="11">
        <f t="shared" si="2"/>
        <v>3300</v>
      </c>
      <c r="I97" s="9">
        <v>2421</v>
      </c>
      <c r="J97" s="8">
        <v>1.02</v>
      </c>
      <c r="K97" s="1" t="s">
        <v>9</v>
      </c>
      <c r="L97" s="1" t="s">
        <v>22</v>
      </c>
      <c r="M97" s="1" t="s">
        <v>18</v>
      </c>
      <c r="N97" s="11">
        <f t="shared" si="3"/>
        <v>2373.5294117647059</v>
      </c>
    </row>
    <row r="98" spans="1:14">
      <c r="A98" s="9">
        <v>3452</v>
      </c>
      <c r="B98" s="8">
        <v>1.03</v>
      </c>
      <c r="C98" s="1" t="s">
        <v>9</v>
      </c>
      <c r="D98" s="1" t="s">
        <v>21</v>
      </c>
      <c r="E98" s="1" t="s">
        <v>18</v>
      </c>
      <c r="F98" s="11">
        <f t="shared" si="2"/>
        <v>3351.4563106796118</v>
      </c>
      <c r="I98" s="9">
        <v>2712</v>
      </c>
      <c r="J98" s="8">
        <v>1.02</v>
      </c>
      <c r="K98" s="1" t="s">
        <v>9</v>
      </c>
      <c r="L98" s="1" t="s">
        <v>22</v>
      </c>
      <c r="M98" s="1" t="s">
        <v>18</v>
      </c>
      <c r="N98" s="11">
        <f t="shared" si="3"/>
        <v>2658.8235294117649</v>
      </c>
    </row>
    <row r="99" spans="1:14">
      <c r="A99" s="9">
        <v>3780</v>
      </c>
      <c r="B99" s="8">
        <v>1.0900000000000001</v>
      </c>
      <c r="C99" s="1" t="s">
        <v>9</v>
      </c>
      <c r="D99" s="1" t="s">
        <v>21</v>
      </c>
      <c r="E99" s="1" t="s">
        <v>18</v>
      </c>
      <c r="F99" s="11">
        <f t="shared" si="2"/>
        <v>3467.8899082568805</v>
      </c>
      <c r="I99" s="9">
        <v>2848</v>
      </c>
      <c r="J99" s="8">
        <v>1</v>
      </c>
      <c r="K99" s="1" t="s">
        <v>9</v>
      </c>
      <c r="L99" s="1" t="s">
        <v>22</v>
      </c>
      <c r="M99" s="1" t="s">
        <v>18</v>
      </c>
      <c r="N99" s="11">
        <f t="shared" si="3"/>
        <v>2848</v>
      </c>
    </row>
  </sheetData>
  <mergeCells count="10">
    <mergeCell ref="A1:F1"/>
    <mergeCell ref="A2:F2"/>
    <mergeCell ref="I1:N1"/>
    <mergeCell ref="I2:N2"/>
    <mergeCell ref="A77:F77"/>
    <mergeCell ref="I77:N77"/>
    <mergeCell ref="A27:F27"/>
    <mergeCell ref="I27:N27"/>
    <mergeCell ref="A52:F52"/>
    <mergeCell ref="I52:N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FBB1E-8BC9-460F-96EE-2ADBEAFA4550}">
  <sheetPr codeName="Sheet2"/>
  <dimension ref="A1:N99"/>
  <sheetViews>
    <sheetView topLeftCell="A67" zoomScale="70" zoomScaleNormal="70" workbookViewId="0">
      <selection activeCell="N92" sqref="N92"/>
    </sheetView>
  </sheetViews>
  <sheetFormatPr defaultRowHeight="14.4" customHeight="1"/>
  <cols>
    <col min="1" max="6" width="13.6640625" style="1" customWidth="1"/>
    <col min="7" max="7" width="23.109375" style="7" customWidth="1"/>
    <col min="8" max="13" width="14.5546875" customWidth="1"/>
    <col min="14" max="14" width="19" bestFit="1" customWidth="1"/>
  </cols>
  <sheetData>
    <row r="1" spans="1:14" ht="14.4" customHeight="1">
      <c r="A1" s="157" t="s">
        <v>0</v>
      </c>
      <c r="B1" s="157"/>
      <c r="C1" s="157"/>
      <c r="D1" s="157"/>
      <c r="E1" s="157"/>
      <c r="F1" s="157"/>
      <c r="G1"/>
      <c r="H1" s="157" t="s">
        <v>0</v>
      </c>
      <c r="I1" s="157"/>
      <c r="J1" s="157"/>
      <c r="K1" s="157"/>
      <c r="L1" s="157"/>
      <c r="M1" s="157"/>
    </row>
    <row r="2" spans="1:14" ht="14.4" customHeight="1">
      <c r="A2" s="154" t="s">
        <v>41</v>
      </c>
      <c r="B2" s="155"/>
      <c r="C2" s="155"/>
      <c r="D2" s="155"/>
      <c r="E2" s="155"/>
      <c r="F2" s="156"/>
      <c r="G2"/>
      <c r="H2" s="154" t="s">
        <v>42</v>
      </c>
      <c r="I2" s="155"/>
      <c r="J2" s="155"/>
      <c r="K2" s="155"/>
      <c r="L2" s="155"/>
      <c r="M2" s="156"/>
    </row>
    <row r="3" spans="1:14" s="14" customFormat="1" ht="14.4" customHeight="1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3" t="s">
        <v>8</v>
      </c>
      <c r="H3" s="3" t="s">
        <v>3</v>
      </c>
      <c r="I3" s="3" t="s">
        <v>4</v>
      </c>
      <c r="J3" s="3" t="s">
        <v>5</v>
      </c>
      <c r="K3" s="3" t="s">
        <v>6</v>
      </c>
      <c r="L3" s="3" t="s">
        <v>7</v>
      </c>
      <c r="M3" s="3" t="s">
        <v>8</v>
      </c>
    </row>
    <row r="4" spans="1:14" ht="14.4" customHeight="1">
      <c r="A4" s="9">
        <v>1092</v>
      </c>
      <c r="B4" s="5" t="s">
        <v>43</v>
      </c>
      <c r="C4" s="4" t="s">
        <v>9</v>
      </c>
      <c r="D4" s="4" t="s">
        <v>25</v>
      </c>
      <c r="E4" s="4" t="s">
        <v>11</v>
      </c>
      <c r="F4" s="11">
        <f>A4/B4</f>
        <v>1092</v>
      </c>
      <c r="G4"/>
      <c r="H4" s="9">
        <v>1242</v>
      </c>
      <c r="I4" s="5" t="s">
        <v>43</v>
      </c>
      <c r="J4" s="4" t="s">
        <v>9</v>
      </c>
      <c r="K4" s="4" t="s">
        <v>26</v>
      </c>
      <c r="L4" s="4" t="s">
        <v>11</v>
      </c>
      <c r="M4" s="11">
        <f>H4/I4</f>
        <v>1242</v>
      </c>
      <c r="N4" t="s">
        <v>44</v>
      </c>
    </row>
    <row r="5" spans="1:14" ht="14.4" customHeight="1">
      <c r="A5" s="9">
        <v>1190</v>
      </c>
      <c r="B5" s="5" t="s">
        <v>45</v>
      </c>
      <c r="C5" s="4" t="s">
        <v>9</v>
      </c>
      <c r="D5" s="4" t="s">
        <v>25</v>
      </c>
      <c r="E5" s="4" t="s">
        <v>11</v>
      </c>
      <c r="F5" s="11">
        <f t="shared" ref="F5:F24" si="0">A5/B5</f>
        <v>1091.7431192660549</v>
      </c>
      <c r="G5"/>
      <c r="H5" s="9">
        <v>1667</v>
      </c>
      <c r="I5" s="5" t="s">
        <v>43</v>
      </c>
      <c r="J5" s="4" t="s">
        <v>9</v>
      </c>
      <c r="K5" s="4" t="s">
        <v>26</v>
      </c>
      <c r="L5" s="4" t="s">
        <v>11</v>
      </c>
      <c r="M5" s="11">
        <f t="shared" ref="M5:M24" si="1">H5/I5</f>
        <v>1667</v>
      </c>
    </row>
    <row r="6" spans="1:14" ht="14.4" customHeight="1">
      <c r="A6" s="9">
        <v>1233</v>
      </c>
      <c r="B6" s="5" t="s">
        <v>46</v>
      </c>
      <c r="C6" s="4" t="s">
        <v>9</v>
      </c>
      <c r="D6" s="4" t="s">
        <v>25</v>
      </c>
      <c r="E6" s="4" t="s">
        <v>11</v>
      </c>
      <c r="F6" s="11">
        <f t="shared" si="0"/>
        <v>1220.7920792079208</v>
      </c>
      <c r="G6"/>
      <c r="H6" s="9">
        <v>1800</v>
      </c>
      <c r="I6" s="5" t="s">
        <v>47</v>
      </c>
      <c r="J6" s="4" t="s">
        <v>9</v>
      </c>
      <c r="K6" s="4" t="s">
        <v>26</v>
      </c>
      <c r="L6" s="4" t="s">
        <v>11</v>
      </c>
      <c r="M6" s="11">
        <f t="shared" si="1"/>
        <v>1666.6666666666665</v>
      </c>
    </row>
    <row r="7" spans="1:14" ht="14.4" customHeight="1">
      <c r="A7" s="9">
        <v>1146</v>
      </c>
      <c r="B7" s="5" t="s">
        <v>48</v>
      </c>
      <c r="C7" s="4" t="s">
        <v>9</v>
      </c>
      <c r="D7" s="4" t="s">
        <v>25</v>
      </c>
      <c r="E7" s="4" t="s">
        <v>13</v>
      </c>
      <c r="F7" s="11">
        <f t="shared" si="0"/>
        <v>1071.0280373831774</v>
      </c>
      <c r="G7"/>
      <c r="H7" s="9">
        <v>1071</v>
      </c>
      <c r="I7" s="5" t="s">
        <v>49</v>
      </c>
      <c r="J7" s="4" t="s">
        <v>9</v>
      </c>
      <c r="K7" s="4" t="s">
        <v>26</v>
      </c>
      <c r="L7" s="4" t="s">
        <v>13</v>
      </c>
      <c r="M7" s="11">
        <f t="shared" si="1"/>
        <v>1020</v>
      </c>
    </row>
    <row r="8" spans="1:14" ht="14.4" customHeight="1">
      <c r="A8" s="9">
        <v>1535</v>
      </c>
      <c r="B8" s="5" t="s">
        <v>46</v>
      </c>
      <c r="C8" s="4" t="s">
        <v>9</v>
      </c>
      <c r="D8" s="4" t="s">
        <v>25</v>
      </c>
      <c r="E8" s="4" t="s">
        <v>13</v>
      </c>
      <c r="F8" s="11">
        <f t="shared" si="0"/>
        <v>1519.8019801980197</v>
      </c>
      <c r="G8"/>
      <c r="H8" s="9">
        <v>1557</v>
      </c>
      <c r="I8" s="5" t="s">
        <v>47</v>
      </c>
      <c r="J8" s="4" t="s">
        <v>9</v>
      </c>
      <c r="K8" s="4" t="s">
        <v>26</v>
      </c>
      <c r="L8" s="4" t="s">
        <v>13</v>
      </c>
      <c r="M8" s="11">
        <f t="shared" si="1"/>
        <v>1441.6666666666665</v>
      </c>
    </row>
    <row r="9" spans="1:14" ht="14.4" customHeight="1">
      <c r="A9" s="9">
        <v>1641</v>
      </c>
      <c r="B9" s="5" t="s">
        <v>47</v>
      </c>
      <c r="C9" s="4" t="s">
        <v>9</v>
      </c>
      <c r="D9" s="4" t="s">
        <v>25</v>
      </c>
      <c r="E9" s="4" t="s">
        <v>13</v>
      </c>
      <c r="F9" s="11">
        <f t="shared" si="0"/>
        <v>1519.4444444444443</v>
      </c>
      <c r="G9"/>
      <c r="H9" s="9">
        <v>1819</v>
      </c>
      <c r="I9" s="5" t="s">
        <v>48</v>
      </c>
      <c r="J9" s="4" t="s">
        <v>9</v>
      </c>
      <c r="K9" s="4" t="s">
        <v>26</v>
      </c>
      <c r="L9" s="4" t="s">
        <v>13</v>
      </c>
      <c r="M9" s="11">
        <f t="shared" si="1"/>
        <v>1700</v>
      </c>
    </row>
    <row r="10" spans="1:14" ht="14.4" customHeight="1">
      <c r="A10" s="9">
        <v>1448</v>
      </c>
      <c r="B10" s="5" t="s">
        <v>50</v>
      </c>
      <c r="C10" s="4" t="s">
        <v>9</v>
      </c>
      <c r="D10" s="4" t="s">
        <v>25</v>
      </c>
      <c r="E10" s="4" t="s">
        <v>14</v>
      </c>
      <c r="F10" s="11">
        <f t="shared" si="0"/>
        <v>1405.8252427184466</v>
      </c>
      <c r="G10"/>
      <c r="H10" s="9">
        <v>1063</v>
      </c>
      <c r="I10" s="5" t="s">
        <v>43</v>
      </c>
      <c r="J10" s="4" t="s">
        <v>9</v>
      </c>
      <c r="K10" s="4" t="s">
        <v>26</v>
      </c>
      <c r="L10" s="4" t="s">
        <v>14</v>
      </c>
      <c r="M10" s="11">
        <f t="shared" si="1"/>
        <v>1063</v>
      </c>
    </row>
    <row r="11" spans="1:14" ht="14.4" customHeight="1">
      <c r="A11" s="9">
        <v>2109</v>
      </c>
      <c r="B11" s="5" t="s">
        <v>43</v>
      </c>
      <c r="C11" s="4" t="s">
        <v>9</v>
      </c>
      <c r="D11" s="4" t="s">
        <v>25</v>
      </c>
      <c r="E11" s="4" t="s">
        <v>14</v>
      </c>
      <c r="F11" s="11">
        <f t="shared" si="0"/>
        <v>2109</v>
      </c>
      <c r="G11"/>
      <c r="H11" s="9">
        <v>1671</v>
      </c>
      <c r="I11" s="5" t="s">
        <v>48</v>
      </c>
      <c r="J11" s="4" t="s">
        <v>9</v>
      </c>
      <c r="K11" s="4" t="s">
        <v>26</v>
      </c>
      <c r="L11" s="4" t="s">
        <v>14</v>
      </c>
      <c r="M11" s="11">
        <f t="shared" si="1"/>
        <v>1561.682242990654</v>
      </c>
    </row>
    <row r="12" spans="1:14" ht="14.4" customHeight="1">
      <c r="A12" s="9">
        <v>1900</v>
      </c>
      <c r="B12" s="5" t="s">
        <v>48</v>
      </c>
      <c r="C12" s="4" t="s">
        <v>9</v>
      </c>
      <c r="D12" s="4" t="s">
        <v>25</v>
      </c>
      <c r="E12" s="4" t="s">
        <v>14</v>
      </c>
      <c r="F12" s="11">
        <f t="shared" si="0"/>
        <v>1775.700934579439</v>
      </c>
      <c r="G12"/>
      <c r="H12" s="9">
        <v>1489</v>
      </c>
      <c r="I12" s="5" t="s">
        <v>45</v>
      </c>
      <c r="J12" s="4" t="s">
        <v>9</v>
      </c>
      <c r="K12" s="4" t="s">
        <v>26</v>
      </c>
      <c r="L12" s="4" t="s">
        <v>14</v>
      </c>
      <c r="M12" s="11">
        <f t="shared" si="1"/>
        <v>1366.0550458715595</v>
      </c>
    </row>
    <row r="13" spans="1:14" ht="14.4" customHeight="1">
      <c r="A13" s="9">
        <v>2022</v>
      </c>
      <c r="B13" s="5" t="s">
        <v>47</v>
      </c>
      <c r="C13" s="4" t="s">
        <v>9</v>
      </c>
      <c r="D13" s="4" t="s">
        <v>25</v>
      </c>
      <c r="E13" s="4" t="s">
        <v>15</v>
      </c>
      <c r="F13" s="11">
        <f t="shared" si="0"/>
        <v>1872.2222222222222</v>
      </c>
      <c r="G13"/>
      <c r="H13" s="9">
        <v>1352</v>
      </c>
      <c r="I13" s="5" t="s">
        <v>48</v>
      </c>
      <c r="J13" s="4" t="s">
        <v>9</v>
      </c>
      <c r="K13" s="4" t="s">
        <v>26</v>
      </c>
      <c r="L13" s="4" t="s">
        <v>15</v>
      </c>
      <c r="M13" s="11">
        <f t="shared" si="1"/>
        <v>1263.5514018691588</v>
      </c>
    </row>
    <row r="14" spans="1:14" ht="14.4" customHeight="1">
      <c r="A14" s="9">
        <v>2650</v>
      </c>
      <c r="B14" s="5" t="s">
        <v>51</v>
      </c>
      <c r="C14" s="4" t="s">
        <v>9</v>
      </c>
      <c r="D14" s="4" t="s">
        <v>25</v>
      </c>
      <c r="E14" s="4" t="s">
        <v>15</v>
      </c>
      <c r="F14" s="11">
        <f t="shared" si="0"/>
        <v>1853.1468531468531</v>
      </c>
      <c r="G14"/>
      <c r="H14" s="9">
        <v>1964</v>
      </c>
      <c r="I14" s="5" t="s">
        <v>47</v>
      </c>
      <c r="J14" s="4" t="s">
        <v>9</v>
      </c>
      <c r="K14" s="4" t="s">
        <v>26</v>
      </c>
      <c r="L14" s="4" t="s">
        <v>15</v>
      </c>
      <c r="M14" s="11">
        <f t="shared" si="1"/>
        <v>1818.5185185185185</v>
      </c>
    </row>
    <row r="15" spans="1:14" ht="14.4" customHeight="1">
      <c r="A15" s="9">
        <v>2060</v>
      </c>
      <c r="B15" s="5" t="s">
        <v>46</v>
      </c>
      <c r="C15" s="4" t="s">
        <v>9</v>
      </c>
      <c r="D15" s="4" t="s">
        <v>25</v>
      </c>
      <c r="E15" s="4" t="s">
        <v>15</v>
      </c>
      <c r="F15" s="11">
        <f t="shared" si="0"/>
        <v>2039.6039603960396</v>
      </c>
      <c r="G15"/>
      <c r="H15" s="9">
        <v>1523</v>
      </c>
      <c r="I15" s="5" t="s">
        <v>50</v>
      </c>
      <c r="J15" s="4" t="s">
        <v>9</v>
      </c>
      <c r="K15" s="4" t="s">
        <v>26</v>
      </c>
      <c r="L15" s="4" t="s">
        <v>15</v>
      </c>
      <c r="M15" s="11">
        <f t="shared" si="1"/>
        <v>1478.6407766990292</v>
      </c>
    </row>
    <row r="16" spans="1:14" ht="14.4" customHeight="1">
      <c r="A16" s="9">
        <v>2315</v>
      </c>
      <c r="B16" s="5" t="s">
        <v>52</v>
      </c>
      <c r="C16" s="4" t="s">
        <v>9</v>
      </c>
      <c r="D16" s="4" t="s">
        <v>25</v>
      </c>
      <c r="E16" s="4" t="s">
        <v>16</v>
      </c>
      <c r="F16" s="11">
        <f t="shared" si="0"/>
        <v>1978.6324786324788</v>
      </c>
      <c r="G16"/>
      <c r="H16" s="9">
        <v>1378</v>
      </c>
      <c r="I16" s="5" t="s">
        <v>50</v>
      </c>
      <c r="J16" s="4" t="s">
        <v>9</v>
      </c>
      <c r="K16" s="4" t="s">
        <v>26</v>
      </c>
      <c r="L16" s="4" t="s">
        <v>16</v>
      </c>
      <c r="M16" s="11">
        <f t="shared" si="1"/>
        <v>1337.8640776699028</v>
      </c>
    </row>
    <row r="17" spans="1:14" ht="14.4" customHeight="1">
      <c r="A17" s="9">
        <v>2993</v>
      </c>
      <c r="B17" s="5" t="s">
        <v>53</v>
      </c>
      <c r="C17" s="4" t="s">
        <v>9</v>
      </c>
      <c r="D17" s="4" t="s">
        <v>25</v>
      </c>
      <c r="E17" s="4" t="s">
        <v>16</v>
      </c>
      <c r="F17" s="11">
        <f t="shared" si="0"/>
        <v>2720.9090909090905</v>
      </c>
      <c r="G17"/>
      <c r="H17" s="9">
        <v>2177</v>
      </c>
      <c r="I17" s="5" t="s">
        <v>49</v>
      </c>
      <c r="J17" s="4" t="s">
        <v>9</v>
      </c>
      <c r="K17" s="4" t="s">
        <v>26</v>
      </c>
      <c r="L17" s="4" t="s">
        <v>16</v>
      </c>
      <c r="M17" s="11">
        <f t="shared" si="1"/>
        <v>2073.333333333333</v>
      </c>
    </row>
    <row r="18" spans="1:14" ht="14.4" customHeight="1">
      <c r="A18" s="9">
        <v>2060</v>
      </c>
      <c r="B18" s="5" t="s">
        <v>46</v>
      </c>
      <c r="C18" s="4" t="s">
        <v>9</v>
      </c>
      <c r="D18" s="4" t="s">
        <v>25</v>
      </c>
      <c r="E18" s="4" t="s">
        <v>16</v>
      </c>
      <c r="F18" s="11">
        <f t="shared" si="0"/>
        <v>2039.6039603960396</v>
      </c>
      <c r="G18"/>
      <c r="H18" s="9">
        <v>3131</v>
      </c>
      <c r="I18" s="5" t="s">
        <v>54</v>
      </c>
      <c r="J18" s="4" t="s">
        <v>9</v>
      </c>
      <c r="K18" s="4" t="s">
        <v>26</v>
      </c>
      <c r="L18" s="4" t="s">
        <v>16</v>
      </c>
      <c r="M18" s="11">
        <f t="shared" si="1"/>
        <v>2566.3934426229507</v>
      </c>
    </row>
    <row r="19" spans="1:14" ht="14.4" customHeight="1">
      <c r="A19" s="9">
        <v>2760</v>
      </c>
      <c r="B19" s="5" t="s">
        <v>55</v>
      </c>
      <c r="C19" s="4" t="s">
        <v>9</v>
      </c>
      <c r="D19" s="4" t="s">
        <v>25</v>
      </c>
      <c r="E19" s="4" t="s">
        <v>17</v>
      </c>
      <c r="F19" s="11">
        <f t="shared" si="0"/>
        <v>2319.3277310924373</v>
      </c>
      <c r="G19"/>
      <c r="H19" s="9">
        <v>2407</v>
      </c>
      <c r="I19" s="5" t="s">
        <v>49</v>
      </c>
      <c r="J19" s="4" t="s">
        <v>9</v>
      </c>
      <c r="K19" s="4" t="s">
        <v>26</v>
      </c>
      <c r="L19" s="4" t="s">
        <v>17</v>
      </c>
      <c r="M19" s="11">
        <f t="shared" si="1"/>
        <v>2292.3809523809523</v>
      </c>
    </row>
    <row r="20" spans="1:14" ht="14.4" customHeight="1">
      <c r="A20" s="9">
        <v>2919</v>
      </c>
      <c r="B20" s="5" t="s">
        <v>56</v>
      </c>
      <c r="C20" s="4" t="s">
        <v>9</v>
      </c>
      <c r="D20" s="4" t="s">
        <v>25</v>
      </c>
      <c r="E20" s="4" t="s">
        <v>17</v>
      </c>
      <c r="F20" s="11">
        <f t="shared" si="0"/>
        <v>2753.7735849056603</v>
      </c>
      <c r="G20"/>
      <c r="H20" s="9">
        <v>4133</v>
      </c>
      <c r="I20" s="5" t="s">
        <v>50</v>
      </c>
      <c r="J20" s="4" t="s">
        <v>9</v>
      </c>
      <c r="K20" s="4" t="s">
        <v>26</v>
      </c>
      <c r="L20" s="4" t="s">
        <v>17</v>
      </c>
      <c r="M20" s="11">
        <f t="shared" si="1"/>
        <v>4012.6213592233007</v>
      </c>
    </row>
    <row r="21" spans="1:14" ht="14.4" customHeight="1">
      <c r="A21" s="9">
        <v>2439</v>
      </c>
      <c r="B21" s="5" t="s">
        <v>57</v>
      </c>
      <c r="C21" s="4" t="s">
        <v>9</v>
      </c>
      <c r="D21" s="4" t="s">
        <v>25</v>
      </c>
      <c r="E21" s="4" t="s">
        <v>17</v>
      </c>
      <c r="F21" s="11">
        <f t="shared" si="0"/>
        <v>2177.6785714285711</v>
      </c>
      <c r="G21"/>
      <c r="H21" s="9">
        <v>2609</v>
      </c>
      <c r="I21" s="5" t="s">
        <v>58</v>
      </c>
      <c r="J21" s="4" t="s">
        <v>9</v>
      </c>
      <c r="K21" s="4" t="s">
        <v>26</v>
      </c>
      <c r="L21" s="4" t="s">
        <v>17</v>
      </c>
      <c r="M21" s="11">
        <f t="shared" si="1"/>
        <v>2174.166666666667</v>
      </c>
    </row>
    <row r="22" spans="1:14" ht="14.4" customHeight="1">
      <c r="A22" s="9">
        <v>4165</v>
      </c>
      <c r="B22" s="5" t="s">
        <v>59</v>
      </c>
      <c r="C22" s="4" t="s">
        <v>9</v>
      </c>
      <c r="D22" s="4" t="s">
        <v>25</v>
      </c>
      <c r="E22" s="4" t="s">
        <v>18</v>
      </c>
      <c r="F22" s="11">
        <f t="shared" si="0"/>
        <v>2996.4028776978421</v>
      </c>
      <c r="G22"/>
      <c r="H22" s="9">
        <v>2308</v>
      </c>
      <c r="I22" s="5" t="s">
        <v>60</v>
      </c>
      <c r="J22" s="4" t="s">
        <v>9</v>
      </c>
      <c r="K22" s="4" t="s">
        <v>26</v>
      </c>
      <c r="L22" s="4" t="s">
        <v>18</v>
      </c>
      <c r="M22" s="11">
        <f t="shared" si="1"/>
        <v>2219.2307692307691</v>
      </c>
    </row>
    <row r="23" spans="1:14" ht="14.4" customHeight="1">
      <c r="A23" s="9">
        <v>2995</v>
      </c>
      <c r="B23" s="5" t="s">
        <v>46</v>
      </c>
      <c r="C23" s="4" t="s">
        <v>9</v>
      </c>
      <c r="D23" s="4" t="s">
        <v>25</v>
      </c>
      <c r="E23" s="4" t="s">
        <v>18</v>
      </c>
      <c r="F23" s="11">
        <f t="shared" si="0"/>
        <v>2965.3465346534654</v>
      </c>
      <c r="G23"/>
      <c r="H23" s="9">
        <v>2990</v>
      </c>
      <c r="I23" s="5" t="s">
        <v>61</v>
      </c>
      <c r="J23" s="4" t="s">
        <v>9</v>
      </c>
      <c r="K23" s="4" t="s">
        <v>26</v>
      </c>
      <c r="L23" s="4" t="s">
        <v>18</v>
      </c>
      <c r="M23" s="11">
        <f t="shared" si="1"/>
        <v>2577.5862068965521</v>
      </c>
      <c r="N23" t="s">
        <v>62</v>
      </c>
    </row>
    <row r="24" spans="1:14" ht="14.4" customHeight="1">
      <c r="A24" s="9">
        <v>5835</v>
      </c>
      <c r="B24" s="5" t="s">
        <v>60</v>
      </c>
      <c r="C24" s="4" t="s">
        <v>9</v>
      </c>
      <c r="D24" s="4" t="s">
        <v>25</v>
      </c>
      <c r="E24" s="4" t="s">
        <v>18</v>
      </c>
      <c r="F24" s="11">
        <f t="shared" si="0"/>
        <v>5610.5769230769229</v>
      </c>
      <c r="G24"/>
      <c r="H24" s="9">
        <v>3020</v>
      </c>
      <c r="I24" s="5" t="s">
        <v>60</v>
      </c>
      <c r="J24" s="4" t="s">
        <v>9</v>
      </c>
      <c r="K24" s="4" t="s">
        <v>26</v>
      </c>
      <c r="L24" s="4" t="s">
        <v>18</v>
      </c>
      <c r="M24" s="11">
        <f t="shared" si="1"/>
        <v>2903.8461538461538</v>
      </c>
    </row>
    <row r="25" spans="1:14" ht="14.4" customHeight="1">
      <c r="G25"/>
    </row>
    <row r="26" spans="1:14" ht="14.4" customHeight="1">
      <c r="G26"/>
    </row>
    <row r="27" spans="1:14" ht="14.4" customHeight="1">
      <c r="A27" s="154" t="s">
        <v>63</v>
      </c>
      <c r="B27" s="155"/>
      <c r="C27" s="155"/>
      <c r="D27" s="155"/>
      <c r="E27" s="155"/>
      <c r="F27" s="156"/>
      <c r="G27"/>
      <c r="H27" s="154" t="s">
        <v>64</v>
      </c>
      <c r="I27" s="155"/>
      <c r="J27" s="155"/>
      <c r="K27" s="155"/>
      <c r="L27" s="155"/>
      <c r="M27" s="156"/>
    </row>
    <row r="28" spans="1:14" s="14" customFormat="1" ht="14.4" customHeight="1">
      <c r="A28" s="3" t="s">
        <v>3</v>
      </c>
      <c r="B28" s="3" t="s">
        <v>4</v>
      </c>
      <c r="C28" s="3" t="s">
        <v>5</v>
      </c>
      <c r="D28" s="3" t="s">
        <v>6</v>
      </c>
      <c r="E28" s="3" t="s">
        <v>7</v>
      </c>
      <c r="F28" s="3" t="s">
        <v>8</v>
      </c>
      <c r="H28" s="3" t="s">
        <v>3</v>
      </c>
      <c r="I28" s="3" t="s">
        <v>4</v>
      </c>
      <c r="J28" s="3" t="s">
        <v>5</v>
      </c>
      <c r="K28" s="3" t="s">
        <v>6</v>
      </c>
      <c r="L28" s="3" t="s">
        <v>7</v>
      </c>
      <c r="M28" s="3" t="s">
        <v>8</v>
      </c>
    </row>
    <row r="29" spans="1:14" ht="14.4" customHeight="1">
      <c r="A29" s="9">
        <v>1310</v>
      </c>
      <c r="B29" s="5" t="s">
        <v>46</v>
      </c>
      <c r="C29" s="4" t="s">
        <v>9</v>
      </c>
      <c r="D29" s="4" t="s">
        <v>29</v>
      </c>
      <c r="E29" s="4" t="s">
        <v>11</v>
      </c>
      <c r="F29" s="11">
        <f>A29/B29</f>
        <v>1297.029702970297</v>
      </c>
      <c r="G29"/>
      <c r="H29" s="9">
        <v>1359</v>
      </c>
      <c r="I29" s="5" t="s">
        <v>65</v>
      </c>
      <c r="J29" s="4" t="s">
        <v>9</v>
      </c>
      <c r="K29" s="4" t="s">
        <v>30</v>
      </c>
      <c r="L29" s="4" t="s">
        <v>11</v>
      </c>
      <c r="M29" s="11">
        <f>H29/I29</f>
        <v>1202.6548672566373</v>
      </c>
    </row>
    <row r="30" spans="1:14" ht="14.4" customHeight="1">
      <c r="A30" s="9">
        <v>907</v>
      </c>
      <c r="B30" s="5" t="s">
        <v>46</v>
      </c>
      <c r="C30" s="4" t="s">
        <v>9</v>
      </c>
      <c r="D30" s="4" t="s">
        <v>29</v>
      </c>
      <c r="E30" s="4" t="s">
        <v>11</v>
      </c>
      <c r="F30" s="11">
        <f t="shared" ref="F30:F49" si="2">A30/B30</f>
        <v>898.01980198019805</v>
      </c>
      <c r="G30"/>
      <c r="H30" s="9">
        <v>1345</v>
      </c>
      <c r="I30" s="5" t="s">
        <v>46</v>
      </c>
      <c r="J30" s="4" t="s">
        <v>9</v>
      </c>
      <c r="K30" s="4" t="s">
        <v>30</v>
      </c>
      <c r="L30" s="4" t="s">
        <v>11</v>
      </c>
      <c r="M30" s="11">
        <f t="shared" ref="M30:M49" si="3">H30/I30</f>
        <v>1331.6831683168316</v>
      </c>
    </row>
    <row r="31" spans="1:14" ht="14.4" customHeight="1">
      <c r="A31" s="9">
        <v>1249</v>
      </c>
      <c r="B31" s="5" t="s">
        <v>66</v>
      </c>
      <c r="C31" s="4" t="s">
        <v>9</v>
      </c>
      <c r="D31" s="4" t="s">
        <v>29</v>
      </c>
      <c r="E31" s="4" t="s">
        <v>11</v>
      </c>
      <c r="F31" s="11">
        <f t="shared" si="2"/>
        <v>1224.5098039215686</v>
      </c>
      <c r="G31"/>
      <c r="H31" s="9">
        <v>922</v>
      </c>
      <c r="I31" s="5" t="s">
        <v>43</v>
      </c>
      <c r="J31" s="4" t="s">
        <v>9</v>
      </c>
      <c r="K31" s="4" t="s">
        <v>30</v>
      </c>
      <c r="L31" s="4" t="s">
        <v>11</v>
      </c>
      <c r="M31" s="11">
        <f t="shared" si="3"/>
        <v>922</v>
      </c>
    </row>
    <row r="32" spans="1:14" ht="14.4" customHeight="1">
      <c r="A32" s="9">
        <v>870</v>
      </c>
      <c r="B32" s="5" t="s">
        <v>45</v>
      </c>
      <c r="C32" s="4" t="s">
        <v>9</v>
      </c>
      <c r="D32" s="4" t="s">
        <v>29</v>
      </c>
      <c r="E32" s="4" t="s">
        <v>13</v>
      </c>
      <c r="F32" s="11">
        <f t="shared" si="2"/>
        <v>798.16513761467888</v>
      </c>
      <c r="G32"/>
      <c r="H32" s="9">
        <v>883</v>
      </c>
      <c r="I32" s="5" t="s">
        <v>46</v>
      </c>
      <c r="J32" s="4" t="s">
        <v>9</v>
      </c>
      <c r="K32" s="4" t="s">
        <v>30</v>
      </c>
      <c r="L32" s="4" t="s">
        <v>13</v>
      </c>
      <c r="M32" s="11">
        <f t="shared" si="3"/>
        <v>874.25742574257424</v>
      </c>
    </row>
    <row r="33" spans="1:13" ht="14.4" customHeight="1">
      <c r="A33" s="9">
        <v>1421</v>
      </c>
      <c r="B33" s="5" t="s">
        <v>53</v>
      </c>
      <c r="C33" s="4" t="s">
        <v>9</v>
      </c>
      <c r="D33" s="4" t="s">
        <v>29</v>
      </c>
      <c r="E33" s="4" t="s">
        <v>13</v>
      </c>
      <c r="F33" s="11">
        <f t="shared" si="2"/>
        <v>1291.8181818181818</v>
      </c>
      <c r="G33"/>
      <c r="H33" s="9">
        <v>1022</v>
      </c>
      <c r="I33" s="5" t="s">
        <v>43</v>
      </c>
      <c r="J33" s="4" t="s">
        <v>9</v>
      </c>
      <c r="K33" s="4" t="s">
        <v>30</v>
      </c>
      <c r="L33" s="4" t="s">
        <v>13</v>
      </c>
      <c r="M33" s="11">
        <f t="shared" si="3"/>
        <v>1022</v>
      </c>
    </row>
    <row r="34" spans="1:13" ht="14.4" customHeight="1">
      <c r="A34" s="9">
        <v>1269</v>
      </c>
      <c r="B34" s="5" t="s">
        <v>55</v>
      </c>
      <c r="C34" s="4" t="s">
        <v>9</v>
      </c>
      <c r="D34" s="4" t="s">
        <v>29</v>
      </c>
      <c r="E34" s="4" t="s">
        <v>13</v>
      </c>
      <c r="F34" s="11">
        <f t="shared" si="2"/>
        <v>1066.3865546218487</v>
      </c>
      <c r="G34"/>
      <c r="H34" s="9">
        <v>1032</v>
      </c>
      <c r="I34" s="5" t="s">
        <v>46</v>
      </c>
      <c r="J34" s="4" t="s">
        <v>9</v>
      </c>
      <c r="K34" s="4" t="s">
        <v>30</v>
      </c>
      <c r="L34" s="4" t="s">
        <v>13</v>
      </c>
      <c r="M34" s="11">
        <f t="shared" si="3"/>
        <v>1021.7821782178218</v>
      </c>
    </row>
    <row r="35" spans="1:13" ht="14.4" customHeight="1">
      <c r="A35" s="9">
        <v>1004</v>
      </c>
      <c r="B35" s="5" t="s">
        <v>66</v>
      </c>
      <c r="C35" s="4" t="s">
        <v>9</v>
      </c>
      <c r="D35" s="4" t="s">
        <v>29</v>
      </c>
      <c r="E35" s="4" t="s">
        <v>14</v>
      </c>
      <c r="F35" s="11">
        <f t="shared" si="2"/>
        <v>984.31372549019602</v>
      </c>
      <c r="G35"/>
      <c r="H35" s="9">
        <v>853</v>
      </c>
      <c r="I35" s="5" t="s">
        <v>43</v>
      </c>
      <c r="J35" s="4" t="s">
        <v>9</v>
      </c>
      <c r="K35" s="4" t="s">
        <v>30</v>
      </c>
      <c r="L35" s="4" t="s">
        <v>14</v>
      </c>
      <c r="M35" s="11">
        <f t="shared" si="3"/>
        <v>853</v>
      </c>
    </row>
    <row r="36" spans="1:13" ht="14.4" customHeight="1">
      <c r="A36" s="9">
        <v>1647</v>
      </c>
      <c r="B36" s="5" t="s">
        <v>49</v>
      </c>
      <c r="C36" s="4" t="s">
        <v>9</v>
      </c>
      <c r="D36" s="4" t="s">
        <v>29</v>
      </c>
      <c r="E36" s="4" t="s">
        <v>14</v>
      </c>
      <c r="F36" s="11">
        <f t="shared" si="2"/>
        <v>1568.5714285714284</v>
      </c>
      <c r="G36"/>
      <c r="H36" s="9">
        <v>2092</v>
      </c>
      <c r="I36" s="5" t="s">
        <v>46</v>
      </c>
      <c r="J36" s="4" t="s">
        <v>9</v>
      </c>
      <c r="K36" s="4" t="s">
        <v>30</v>
      </c>
      <c r="L36" s="4" t="s">
        <v>14</v>
      </c>
      <c r="M36" s="11">
        <f t="shared" si="3"/>
        <v>2071.2871287128714</v>
      </c>
    </row>
    <row r="37" spans="1:13" ht="14.4" customHeight="1">
      <c r="A37" s="9">
        <v>1455</v>
      </c>
      <c r="B37" s="5" t="s">
        <v>67</v>
      </c>
      <c r="C37" s="4" t="s">
        <v>9</v>
      </c>
      <c r="D37" s="4" t="s">
        <v>29</v>
      </c>
      <c r="E37" s="4" t="s">
        <v>14</v>
      </c>
      <c r="F37" s="11">
        <f t="shared" si="2"/>
        <v>1265.217391304348</v>
      </c>
      <c r="G37"/>
      <c r="H37" s="9">
        <v>1510</v>
      </c>
      <c r="I37" s="5" t="s">
        <v>54</v>
      </c>
      <c r="J37" s="4" t="s">
        <v>9</v>
      </c>
      <c r="K37" s="4" t="s">
        <v>30</v>
      </c>
      <c r="L37" s="4" t="s">
        <v>14</v>
      </c>
      <c r="M37" s="11">
        <f t="shared" si="3"/>
        <v>1237.704918032787</v>
      </c>
    </row>
    <row r="38" spans="1:13" ht="14.4" customHeight="1">
      <c r="A38" s="9">
        <v>1162</v>
      </c>
      <c r="B38" s="5" t="s">
        <v>50</v>
      </c>
      <c r="C38" s="4" t="s">
        <v>9</v>
      </c>
      <c r="D38" s="4" t="s">
        <v>29</v>
      </c>
      <c r="E38" s="4" t="s">
        <v>15</v>
      </c>
      <c r="F38" s="11">
        <f t="shared" si="2"/>
        <v>1128.1553398058252</v>
      </c>
      <c r="G38"/>
      <c r="H38" s="9">
        <v>1220</v>
      </c>
      <c r="I38" s="5" t="s">
        <v>46</v>
      </c>
      <c r="J38" s="4" t="s">
        <v>9</v>
      </c>
      <c r="K38" s="4" t="s">
        <v>30</v>
      </c>
      <c r="L38" s="4" t="s">
        <v>15</v>
      </c>
      <c r="M38" s="11">
        <f t="shared" si="3"/>
        <v>1207.920792079208</v>
      </c>
    </row>
    <row r="39" spans="1:13" ht="14.4" customHeight="1">
      <c r="A39" s="9">
        <v>1514</v>
      </c>
      <c r="B39" s="5" t="s">
        <v>53</v>
      </c>
      <c r="C39" s="4" t="s">
        <v>9</v>
      </c>
      <c r="D39" s="4" t="s">
        <v>29</v>
      </c>
      <c r="E39" s="4" t="s">
        <v>15</v>
      </c>
      <c r="F39" s="11">
        <f t="shared" si="2"/>
        <v>1376.3636363636363</v>
      </c>
      <c r="G39"/>
      <c r="H39" s="9">
        <v>2285</v>
      </c>
      <c r="I39" s="5" t="s">
        <v>68</v>
      </c>
      <c r="J39" s="4" t="s">
        <v>9</v>
      </c>
      <c r="K39" s="4" t="s">
        <v>30</v>
      </c>
      <c r="L39" s="4" t="s">
        <v>15</v>
      </c>
      <c r="M39" s="11">
        <f t="shared" si="3"/>
        <v>1609.1549295774648</v>
      </c>
    </row>
    <row r="40" spans="1:13" ht="14.4" customHeight="1">
      <c r="A40" s="9">
        <v>1814</v>
      </c>
      <c r="B40" s="5" t="s">
        <v>53</v>
      </c>
      <c r="C40" s="4" t="s">
        <v>9</v>
      </c>
      <c r="D40" s="4" t="s">
        <v>29</v>
      </c>
      <c r="E40" s="4" t="s">
        <v>15</v>
      </c>
      <c r="F40" s="11">
        <f t="shared" si="2"/>
        <v>1649.090909090909</v>
      </c>
      <c r="G40"/>
      <c r="H40" s="9">
        <v>1771</v>
      </c>
      <c r="I40" s="5" t="s">
        <v>69</v>
      </c>
      <c r="J40" s="4" t="s">
        <v>9</v>
      </c>
      <c r="K40" s="4" t="s">
        <v>30</v>
      </c>
      <c r="L40" s="4" t="s">
        <v>15</v>
      </c>
      <c r="M40" s="11">
        <f t="shared" si="3"/>
        <v>1553.5087719298247</v>
      </c>
    </row>
    <row r="41" spans="1:13" ht="14.4" customHeight="1">
      <c r="A41" s="9">
        <v>1351</v>
      </c>
      <c r="B41" s="5" t="s">
        <v>46</v>
      </c>
      <c r="C41" s="4" t="s">
        <v>9</v>
      </c>
      <c r="D41" s="4" t="s">
        <v>29</v>
      </c>
      <c r="E41" s="4" t="s">
        <v>16</v>
      </c>
      <c r="F41" s="11">
        <f t="shared" si="2"/>
        <v>1337.6237623762377</v>
      </c>
      <c r="G41"/>
      <c r="H41" s="9">
        <v>1247</v>
      </c>
      <c r="I41" s="5" t="s">
        <v>60</v>
      </c>
      <c r="J41" s="4" t="s">
        <v>9</v>
      </c>
      <c r="K41" s="4" t="s">
        <v>30</v>
      </c>
      <c r="L41" s="4" t="s">
        <v>16</v>
      </c>
      <c r="M41" s="11">
        <f t="shared" si="3"/>
        <v>1199.0384615384614</v>
      </c>
    </row>
    <row r="42" spans="1:13" ht="14.4" customHeight="1">
      <c r="A42" s="9">
        <v>2025</v>
      </c>
      <c r="B42" s="5" t="s">
        <v>45</v>
      </c>
      <c r="C42" s="4" t="s">
        <v>9</v>
      </c>
      <c r="D42" s="4" t="s">
        <v>29</v>
      </c>
      <c r="E42" s="4" t="s">
        <v>16</v>
      </c>
      <c r="F42" s="11">
        <f t="shared" si="2"/>
        <v>1857.7981651376144</v>
      </c>
      <c r="G42"/>
      <c r="H42" s="9">
        <v>2444</v>
      </c>
      <c r="I42" s="5" t="s">
        <v>57</v>
      </c>
      <c r="J42" s="4" t="s">
        <v>9</v>
      </c>
      <c r="K42" s="4" t="s">
        <v>30</v>
      </c>
      <c r="L42" s="4" t="s">
        <v>16</v>
      </c>
      <c r="M42" s="11">
        <f t="shared" si="3"/>
        <v>2182.1428571428569</v>
      </c>
    </row>
    <row r="43" spans="1:13" ht="14.4" customHeight="1">
      <c r="A43" s="9">
        <v>2043</v>
      </c>
      <c r="B43" s="5" t="s">
        <v>53</v>
      </c>
      <c r="C43" s="4" t="s">
        <v>9</v>
      </c>
      <c r="D43" s="4" t="s">
        <v>29</v>
      </c>
      <c r="E43" s="4" t="s">
        <v>16</v>
      </c>
      <c r="F43" s="11">
        <f t="shared" si="2"/>
        <v>1857.272727272727</v>
      </c>
      <c r="G43"/>
      <c r="H43" s="9">
        <v>1935</v>
      </c>
      <c r="I43" s="5" t="s">
        <v>65</v>
      </c>
      <c r="J43" s="4" t="s">
        <v>9</v>
      </c>
      <c r="K43" s="4" t="s">
        <v>30</v>
      </c>
      <c r="L43" s="4" t="s">
        <v>16</v>
      </c>
      <c r="M43" s="11">
        <f t="shared" si="3"/>
        <v>1712.3893805309735</v>
      </c>
    </row>
    <row r="44" spans="1:13" ht="14.4" customHeight="1">
      <c r="A44" s="9">
        <v>2301</v>
      </c>
      <c r="B44" s="5" t="s">
        <v>54</v>
      </c>
      <c r="C44" s="4" t="s">
        <v>9</v>
      </c>
      <c r="D44" s="4" t="s">
        <v>29</v>
      </c>
      <c r="E44" s="4" t="s">
        <v>17</v>
      </c>
      <c r="F44" s="11">
        <f t="shared" si="2"/>
        <v>1886.0655737704919</v>
      </c>
      <c r="G44"/>
      <c r="H44" s="9">
        <v>1518</v>
      </c>
      <c r="I44" s="5" t="s">
        <v>67</v>
      </c>
      <c r="J44" s="4" t="s">
        <v>9</v>
      </c>
      <c r="K44" s="4" t="s">
        <v>30</v>
      </c>
      <c r="L44" s="4" t="s">
        <v>17</v>
      </c>
      <c r="M44" s="11">
        <f t="shared" si="3"/>
        <v>1320</v>
      </c>
    </row>
    <row r="45" spans="1:13" ht="14.4" customHeight="1">
      <c r="A45" s="9">
        <v>2241</v>
      </c>
      <c r="B45" s="5" t="s">
        <v>49</v>
      </c>
      <c r="C45" s="4" t="s">
        <v>9</v>
      </c>
      <c r="D45" s="4" t="s">
        <v>29</v>
      </c>
      <c r="E45" s="4" t="s">
        <v>17</v>
      </c>
      <c r="F45" s="11">
        <f t="shared" si="2"/>
        <v>2134.2857142857142</v>
      </c>
      <c r="G45"/>
      <c r="H45" s="9">
        <v>1814</v>
      </c>
      <c r="I45" s="5" t="s">
        <v>56</v>
      </c>
      <c r="J45" s="4" t="s">
        <v>9</v>
      </c>
      <c r="K45" s="4" t="s">
        <v>30</v>
      </c>
      <c r="L45" s="4" t="s">
        <v>17</v>
      </c>
      <c r="M45" s="11">
        <f t="shared" si="3"/>
        <v>1711.3207547169811</v>
      </c>
    </row>
    <row r="46" spans="1:13" ht="14.4" customHeight="1">
      <c r="A46" s="9">
        <v>2266</v>
      </c>
      <c r="B46" s="5" t="s">
        <v>46</v>
      </c>
      <c r="C46" s="4" t="s">
        <v>9</v>
      </c>
      <c r="D46" s="4" t="s">
        <v>29</v>
      </c>
      <c r="E46" s="4" t="s">
        <v>17</v>
      </c>
      <c r="F46" s="11">
        <f t="shared" si="2"/>
        <v>2243.5643564356437</v>
      </c>
      <c r="G46"/>
      <c r="H46" s="9">
        <v>1866</v>
      </c>
      <c r="I46" s="5" t="s">
        <v>45</v>
      </c>
      <c r="J46" s="4" t="s">
        <v>9</v>
      </c>
      <c r="K46" s="4" t="s">
        <v>30</v>
      </c>
      <c r="L46" s="4" t="s">
        <v>17</v>
      </c>
      <c r="M46" s="11">
        <f t="shared" si="3"/>
        <v>1711.9266055045871</v>
      </c>
    </row>
    <row r="47" spans="1:13" ht="14.4" customHeight="1">
      <c r="A47" s="9">
        <v>2162</v>
      </c>
      <c r="B47" s="5" t="s">
        <v>43</v>
      </c>
      <c r="C47" s="4" t="s">
        <v>9</v>
      </c>
      <c r="D47" s="4" t="s">
        <v>29</v>
      </c>
      <c r="E47" s="4" t="s">
        <v>18</v>
      </c>
      <c r="F47" s="11">
        <f t="shared" si="2"/>
        <v>2162</v>
      </c>
      <c r="G47"/>
      <c r="H47" s="9">
        <v>1938</v>
      </c>
      <c r="I47" s="5" t="s">
        <v>60</v>
      </c>
      <c r="J47" s="4" t="s">
        <v>9</v>
      </c>
      <c r="K47" s="4" t="s">
        <v>30</v>
      </c>
      <c r="L47" s="4" t="s">
        <v>18</v>
      </c>
      <c r="M47" s="11">
        <f t="shared" si="3"/>
        <v>1863.4615384615383</v>
      </c>
    </row>
    <row r="48" spans="1:13" ht="14.4" customHeight="1">
      <c r="A48" s="9">
        <v>2329</v>
      </c>
      <c r="B48" s="5" t="s">
        <v>43</v>
      </c>
      <c r="C48" s="4" t="s">
        <v>9</v>
      </c>
      <c r="D48" s="4" t="s">
        <v>29</v>
      </c>
      <c r="E48" s="4" t="s">
        <v>18</v>
      </c>
      <c r="F48" s="11">
        <f t="shared" si="2"/>
        <v>2329</v>
      </c>
      <c r="G48"/>
      <c r="H48" s="9">
        <v>2788</v>
      </c>
      <c r="I48" s="5" t="s">
        <v>49</v>
      </c>
      <c r="J48" s="4" t="s">
        <v>9</v>
      </c>
      <c r="K48" s="4" t="s">
        <v>30</v>
      </c>
      <c r="L48" s="4" t="s">
        <v>18</v>
      </c>
      <c r="M48" s="11">
        <f t="shared" si="3"/>
        <v>2655.238095238095</v>
      </c>
    </row>
    <row r="49" spans="1:14" ht="14.4" customHeight="1">
      <c r="A49" s="9">
        <v>2310</v>
      </c>
      <c r="B49" s="5" t="s">
        <v>43</v>
      </c>
      <c r="C49" s="4" t="s">
        <v>9</v>
      </c>
      <c r="D49" s="4" t="s">
        <v>29</v>
      </c>
      <c r="E49" s="4" t="s">
        <v>18</v>
      </c>
      <c r="F49" s="11">
        <f t="shared" si="2"/>
        <v>2310</v>
      </c>
      <c r="G49"/>
      <c r="H49" s="9">
        <v>2210</v>
      </c>
      <c r="I49" s="5" t="s">
        <v>49</v>
      </c>
      <c r="J49" s="4" t="s">
        <v>9</v>
      </c>
      <c r="K49" s="4" t="s">
        <v>30</v>
      </c>
      <c r="L49" s="4" t="s">
        <v>18</v>
      </c>
      <c r="M49" s="11">
        <f t="shared" si="3"/>
        <v>2104.7619047619046</v>
      </c>
    </row>
    <row r="52" spans="1:14" ht="14.4" customHeight="1">
      <c r="A52" s="154" t="s">
        <v>33</v>
      </c>
      <c r="B52" s="155"/>
      <c r="C52" s="155"/>
      <c r="D52" s="155"/>
      <c r="E52" s="155"/>
      <c r="F52" s="156"/>
      <c r="H52" s="154" t="s">
        <v>34</v>
      </c>
      <c r="I52" s="155"/>
      <c r="J52" s="155"/>
      <c r="K52" s="155"/>
      <c r="L52" s="155"/>
      <c r="M52" s="156"/>
    </row>
    <row r="53" spans="1:14" s="14" customFormat="1" ht="14.4" customHeight="1">
      <c r="A53" s="3" t="s">
        <v>3</v>
      </c>
      <c r="B53" s="3" t="s">
        <v>4</v>
      </c>
      <c r="C53" s="3" t="s">
        <v>5</v>
      </c>
      <c r="D53" s="3" t="s">
        <v>6</v>
      </c>
      <c r="E53" s="3" t="s">
        <v>7</v>
      </c>
      <c r="F53" s="3" t="s">
        <v>8</v>
      </c>
      <c r="G53" s="24"/>
      <c r="H53" s="3" t="s">
        <v>3</v>
      </c>
      <c r="I53" s="3" t="s">
        <v>4</v>
      </c>
      <c r="J53" s="3" t="s">
        <v>5</v>
      </c>
      <c r="K53" s="3" t="s">
        <v>6</v>
      </c>
      <c r="L53" s="3" t="s">
        <v>7</v>
      </c>
      <c r="M53" s="3" t="s">
        <v>8</v>
      </c>
    </row>
    <row r="54" spans="1:14" ht="14.4" customHeight="1">
      <c r="A54" s="9">
        <v>868</v>
      </c>
      <c r="B54" s="5">
        <v>1.1200000000000001</v>
      </c>
      <c r="C54" s="4" t="s">
        <v>9</v>
      </c>
      <c r="D54" s="4" t="s">
        <v>10</v>
      </c>
      <c r="E54" s="4" t="s">
        <v>11</v>
      </c>
      <c r="F54" s="11">
        <f>A54/B54</f>
        <v>774.99999999999989</v>
      </c>
      <c r="H54" s="9">
        <v>990</v>
      </c>
      <c r="I54" s="5">
        <v>1.02</v>
      </c>
      <c r="J54" s="4" t="s">
        <v>9</v>
      </c>
      <c r="K54" s="4" t="s">
        <v>12</v>
      </c>
      <c r="L54" s="4" t="s">
        <v>11</v>
      </c>
      <c r="M54" s="11">
        <f>H54/I54</f>
        <v>970.58823529411768</v>
      </c>
      <c r="N54" s="25"/>
    </row>
    <row r="55" spans="1:14" ht="14.4" customHeight="1">
      <c r="A55" s="9">
        <v>1011</v>
      </c>
      <c r="B55" s="5">
        <v>1.1200000000000001</v>
      </c>
      <c r="C55" s="4" t="s">
        <v>9</v>
      </c>
      <c r="D55" s="4" t="s">
        <v>10</v>
      </c>
      <c r="E55" s="4" t="s">
        <v>11</v>
      </c>
      <c r="F55" s="11">
        <f t="shared" ref="F55:F74" si="4">A55/B55</f>
        <v>902.67857142857133</v>
      </c>
      <c r="H55" s="9">
        <v>1010</v>
      </c>
      <c r="I55" s="5">
        <v>1.04</v>
      </c>
      <c r="J55" s="4" t="s">
        <v>9</v>
      </c>
      <c r="K55" s="4" t="s">
        <v>12</v>
      </c>
      <c r="L55" s="4" t="s">
        <v>11</v>
      </c>
      <c r="M55" s="11">
        <f t="shared" ref="M55:M71" si="5">H55/I55</f>
        <v>971.15384615384608</v>
      </c>
      <c r="N55" s="7"/>
    </row>
    <row r="56" spans="1:14" ht="14.4" customHeight="1">
      <c r="A56" s="9">
        <v>1438</v>
      </c>
      <c r="B56" s="5">
        <v>1</v>
      </c>
      <c r="C56" s="4" t="s">
        <v>9</v>
      </c>
      <c r="D56" s="4" t="s">
        <v>10</v>
      </c>
      <c r="E56" s="4" t="s">
        <v>11</v>
      </c>
      <c r="F56" s="11">
        <f t="shared" si="4"/>
        <v>1438</v>
      </c>
      <c r="H56" s="9">
        <v>1180</v>
      </c>
      <c r="I56" s="5">
        <v>1.03</v>
      </c>
      <c r="J56" s="4" t="s">
        <v>9</v>
      </c>
      <c r="K56" s="4" t="s">
        <v>12</v>
      </c>
      <c r="L56" s="4" t="s">
        <v>11</v>
      </c>
      <c r="M56" s="11">
        <f t="shared" si="5"/>
        <v>1145.6310679611649</v>
      </c>
      <c r="N56" s="7"/>
    </row>
    <row r="57" spans="1:14" ht="14.4" customHeight="1">
      <c r="A57" s="9">
        <v>1050</v>
      </c>
      <c r="B57" s="5">
        <v>1.01</v>
      </c>
      <c r="C57" s="4" t="s">
        <v>9</v>
      </c>
      <c r="D57" s="4" t="s">
        <v>10</v>
      </c>
      <c r="E57" s="4" t="s">
        <v>13</v>
      </c>
      <c r="F57" s="11">
        <f t="shared" si="4"/>
        <v>1039.6039603960396</v>
      </c>
      <c r="H57" s="9">
        <v>1070</v>
      </c>
      <c r="I57" s="5">
        <v>1</v>
      </c>
      <c r="J57" s="4" t="s">
        <v>9</v>
      </c>
      <c r="K57" s="4" t="s">
        <v>12</v>
      </c>
      <c r="L57" s="4" t="s">
        <v>13</v>
      </c>
      <c r="M57" s="11">
        <f t="shared" si="5"/>
        <v>1070</v>
      </c>
      <c r="N57" s="7"/>
    </row>
    <row r="58" spans="1:14" ht="14.4" customHeight="1">
      <c r="A58" s="9">
        <v>1269</v>
      </c>
      <c r="B58" s="5">
        <v>1.01</v>
      </c>
      <c r="C58" s="4" t="s">
        <v>9</v>
      </c>
      <c r="D58" s="4" t="s">
        <v>10</v>
      </c>
      <c r="E58" s="4" t="s">
        <v>13</v>
      </c>
      <c r="F58" s="11">
        <f t="shared" si="4"/>
        <v>1256.4356435643565</v>
      </c>
      <c r="H58" s="9">
        <v>1090</v>
      </c>
      <c r="I58" s="5">
        <v>1.02</v>
      </c>
      <c r="J58" s="4" t="s">
        <v>9</v>
      </c>
      <c r="K58" s="4" t="s">
        <v>12</v>
      </c>
      <c r="L58" s="4" t="s">
        <v>13</v>
      </c>
      <c r="M58" s="11">
        <f t="shared" si="5"/>
        <v>1068.627450980392</v>
      </c>
      <c r="N58" s="7"/>
    </row>
    <row r="59" spans="1:14" ht="14.4" customHeight="1">
      <c r="A59" s="9">
        <v>1055</v>
      </c>
      <c r="B59" s="5">
        <v>1.08</v>
      </c>
      <c r="C59" s="4" t="s">
        <v>9</v>
      </c>
      <c r="D59" s="4" t="s">
        <v>10</v>
      </c>
      <c r="E59" s="4" t="s">
        <v>13</v>
      </c>
      <c r="F59" s="11">
        <f t="shared" si="4"/>
        <v>976.85185185185173</v>
      </c>
      <c r="H59" s="9">
        <v>1280</v>
      </c>
      <c r="I59" s="5">
        <v>1.04</v>
      </c>
      <c r="J59" s="4" t="s">
        <v>9</v>
      </c>
      <c r="K59" s="4" t="s">
        <v>12</v>
      </c>
      <c r="L59" s="4" t="s">
        <v>13</v>
      </c>
      <c r="M59" s="11">
        <f t="shared" si="5"/>
        <v>1230.7692307692307</v>
      </c>
      <c r="N59" s="7"/>
    </row>
    <row r="60" spans="1:14" ht="14.4" customHeight="1">
      <c r="A60" s="9">
        <v>1199</v>
      </c>
      <c r="B60" s="5">
        <v>1.07</v>
      </c>
      <c r="C60" s="4" t="s">
        <v>9</v>
      </c>
      <c r="D60" s="4" t="s">
        <v>10</v>
      </c>
      <c r="E60" s="4" t="s">
        <v>14</v>
      </c>
      <c r="F60" s="11">
        <f t="shared" si="4"/>
        <v>1120.5607476635514</v>
      </c>
      <c r="H60" s="9">
        <v>1373</v>
      </c>
      <c r="I60" s="5">
        <v>1.28</v>
      </c>
      <c r="J60" s="4" t="s">
        <v>9</v>
      </c>
      <c r="K60" s="4" t="s">
        <v>12</v>
      </c>
      <c r="L60" s="4" t="s">
        <v>14</v>
      </c>
      <c r="M60" s="11">
        <f t="shared" si="5"/>
        <v>1072.65625</v>
      </c>
      <c r="N60" s="7"/>
    </row>
    <row r="61" spans="1:14" ht="14.4" customHeight="1">
      <c r="A61" s="9">
        <v>2062</v>
      </c>
      <c r="B61" s="5">
        <v>1.18</v>
      </c>
      <c r="C61" s="4" t="s">
        <v>9</v>
      </c>
      <c r="D61" s="4" t="s">
        <v>10</v>
      </c>
      <c r="E61" s="4" t="s">
        <v>14</v>
      </c>
      <c r="F61" s="11">
        <f t="shared" si="4"/>
        <v>1747.4576271186443</v>
      </c>
      <c r="H61" s="9">
        <v>1130</v>
      </c>
      <c r="I61" s="5">
        <v>1.01</v>
      </c>
      <c r="J61" s="4" t="s">
        <v>9</v>
      </c>
      <c r="K61" s="4" t="s">
        <v>12</v>
      </c>
      <c r="L61" s="4" t="s">
        <v>14</v>
      </c>
      <c r="M61" s="11">
        <f t="shared" si="5"/>
        <v>1118.8118811881188</v>
      </c>
      <c r="N61" s="7"/>
    </row>
    <row r="62" spans="1:14" ht="14.4" customHeight="1">
      <c r="A62" s="9">
        <v>1324</v>
      </c>
      <c r="B62" s="5">
        <v>1.01</v>
      </c>
      <c r="C62" s="4" t="s">
        <v>9</v>
      </c>
      <c r="D62" s="4" t="s">
        <v>10</v>
      </c>
      <c r="E62" s="4" t="s">
        <v>14</v>
      </c>
      <c r="F62" s="11">
        <f t="shared" si="4"/>
        <v>1310.8910891089108</v>
      </c>
      <c r="H62" s="9">
        <v>1100</v>
      </c>
      <c r="I62" s="5">
        <v>1.06</v>
      </c>
      <c r="J62" s="4" t="s">
        <v>9</v>
      </c>
      <c r="K62" s="4" t="s">
        <v>12</v>
      </c>
      <c r="L62" s="4" t="s">
        <v>14</v>
      </c>
      <c r="M62" s="11">
        <f t="shared" si="5"/>
        <v>1037.7358490566037</v>
      </c>
      <c r="N62" s="7"/>
    </row>
    <row r="63" spans="1:14" ht="14.4" customHeight="1">
      <c r="A63" s="9">
        <v>2000</v>
      </c>
      <c r="B63" s="5">
        <v>1.1000000000000001</v>
      </c>
      <c r="C63" s="4" t="s">
        <v>9</v>
      </c>
      <c r="D63" s="4" t="s">
        <v>10</v>
      </c>
      <c r="E63" s="4" t="s">
        <v>15</v>
      </c>
      <c r="F63" s="11">
        <f t="shared" si="4"/>
        <v>1818.181818181818</v>
      </c>
      <c r="H63" s="9">
        <v>1270</v>
      </c>
      <c r="I63" s="5">
        <v>1.05</v>
      </c>
      <c r="J63" s="4" t="s">
        <v>9</v>
      </c>
      <c r="K63" s="4" t="s">
        <v>12</v>
      </c>
      <c r="L63" s="4" t="s">
        <v>15</v>
      </c>
      <c r="M63" s="11">
        <f t="shared" si="5"/>
        <v>1209.5238095238094</v>
      </c>
      <c r="N63" s="7"/>
    </row>
    <row r="64" spans="1:14" ht="14.4" customHeight="1">
      <c r="A64" s="9">
        <v>1452</v>
      </c>
      <c r="B64" s="5">
        <v>1.2</v>
      </c>
      <c r="C64" s="4" t="s">
        <v>9</v>
      </c>
      <c r="D64" s="4" t="s">
        <v>10</v>
      </c>
      <c r="E64" s="4" t="s">
        <v>15</v>
      </c>
      <c r="F64" s="11">
        <f t="shared" si="4"/>
        <v>1210</v>
      </c>
      <c r="H64" s="9">
        <v>1400</v>
      </c>
      <c r="I64" s="5">
        <v>1.21</v>
      </c>
      <c r="J64" s="4" t="s">
        <v>9</v>
      </c>
      <c r="K64" s="4" t="s">
        <v>12</v>
      </c>
      <c r="L64" s="4" t="s">
        <v>15</v>
      </c>
      <c r="M64" s="11">
        <f t="shared" si="5"/>
        <v>1157.0247933884298</v>
      </c>
      <c r="N64" s="7"/>
    </row>
    <row r="65" spans="1:14" ht="14.4" customHeight="1">
      <c r="A65" s="9">
        <v>1717</v>
      </c>
      <c r="B65" s="5">
        <v>1.27</v>
      </c>
      <c r="C65" s="4" t="s">
        <v>9</v>
      </c>
      <c r="D65" s="4" t="s">
        <v>10</v>
      </c>
      <c r="E65" s="4" t="s">
        <v>15</v>
      </c>
      <c r="F65" s="11">
        <f t="shared" si="4"/>
        <v>1351.9685039370079</v>
      </c>
      <c r="H65" s="9">
        <v>1220</v>
      </c>
      <c r="I65" s="5">
        <v>1</v>
      </c>
      <c r="J65" s="4" t="s">
        <v>9</v>
      </c>
      <c r="K65" s="4" t="s">
        <v>12</v>
      </c>
      <c r="L65" s="4" t="s">
        <v>15</v>
      </c>
      <c r="M65" s="11">
        <f t="shared" si="5"/>
        <v>1220</v>
      </c>
      <c r="N65" s="7"/>
    </row>
    <row r="66" spans="1:14" ht="14.4" customHeight="1">
      <c r="A66" s="9">
        <v>2427</v>
      </c>
      <c r="B66" s="5">
        <v>1.2</v>
      </c>
      <c r="C66" s="4" t="s">
        <v>9</v>
      </c>
      <c r="D66" s="4" t="s">
        <v>10</v>
      </c>
      <c r="E66" s="4" t="s">
        <v>16</v>
      </c>
      <c r="F66" s="11">
        <f>A66/B66</f>
        <v>2022.5</v>
      </c>
      <c r="H66" s="9">
        <v>1340</v>
      </c>
      <c r="I66" s="5">
        <v>1.08</v>
      </c>
      <c r="J66" s="4" t="s">
        <v>9</v>
      </c>
      <c r="K66" s="4" t="s">
        <v>12</v>
      </c>
      <c r="L66" s="4" t="s">
        <v>16</v>
      </c>
      <c r="M66" s="11">
        <f t="shared" si="5"/>
        <v>1240.7407407407406</v>
      </c>
      <c r="N66" s="7"/>
    </row>
    <row r="67" spans="1:14" ht="14.4" customHeight="1">
      <c r="A67" s="9">
        <v>1998</v>
      </c>
      <c r="B67" s="5">
        <v>1.32</v>
      </c>
      <c r="C67" s="4" t="s">
        <v>9</v>
      </c>
      <c r="D67" s="4" t="s">
        <v>10</v>
      </c>
      <c r="E67" s="4" t="s">
        <v>16</v>
      </c>
      <c r="F67" s="11">
        <f>A67/B67</f>
        <v>1513.6363636363635</v>
      </c>
      <c r="H67" s="9">
        <v>1250</v>
      </c>
      <c r="I67" s="5">
        <v>1.01</v>
      </c>
      <c r="J67" s="4" t="s">
        <v>9</v>
      </c>
      <c r="K67" s="4" t="s">
        <v>12</v>
      </c>
      <c r="L67" s="4" t="s">
        <v>16</v>
      </c>
      <c r="M67" s="11">
        <f t="shared" si="5"/>
        <v>1237.6237623762377</v>
      </c>
      <c r="N67" s="7"/>
    </row>
    <row r="68" spans="1:14" ht="14.4" customHeight="1">
      <c r="A68" s="9">
        <v>2134</v>
      </c>
      <c r="B68" s="5">
        <v>1.41</v>
      </c>
      <c r="C68" s="4" t="s">
        <v>9</v>
      </c>
      <c r="D68" s="4" t="s">
        <v>10</v>
      </c>
      <c r="E68" s="4" t="s">
        <v>16</v>
      </c>
      <c r="F68" s="11">
        <f t="shared" si="4"/>
        <v>1513.4751773049645</v>
      </c>
      <c r="H68" s="9">
        <v>1350</v>
      </c>
      <c r="I68" s="5">
        <v>1.0900000000000001</v>
      </c>
      <c r="J68" s="4" t="s">
        <v>9</v>
      </c>
      <c r="K68" s="4" t="s">
        <v>12</v>
      </c>
      <c r="L68" s="4" t="s">
        <v>16</v>
      </c>
      <c r="M68" s="11">
        <f t="shared" si="5"/>
        <v>1238.5321100917431</v>
      </c>
      <c r="N68" s="7"/>
    </row>
    <row r="69" spans="1:14" ht="14.4" customHeight="1">
      <c r="A69" s="9">
        <v>2013</v>
      </c>
      <c r="B69" s="5">
        <v>1.1399999999999999</v>
      </c>
      <c r="C69" s="4" t="s">
        <v>9</v>
      </c>
      <c r="D69" s="4" t="s">
        <v>10</v>
      </c>
      <c r="E69" s="4" t="s">
        <v>17</v>
      </c>
      <c r="F69" s="11">
        <f>A69/B69</f>
        <v>1765.7894736842106</v>
      </c>
      <c r="H69" s="9">
        <v>1330</v>
      </c>
      <c r="I69" s="5">
        <v>1.05</v>
      </c>
      <c r="J69" s="4" t="s">
        <v>9</v>
      </c>
      <c r="K69" s="4" t="s">
        <v>12</v>
      </c>
      <c r="L69" s="4" t="s">
        <v>17</v>
      </c>
      <c r="M69" s="11">
        <f t="shared" si="5"/>
        <v>1266.6666666666665</v>
      </c>
      <c r="N69" s="7"/>
    </row>
    <row r="70" spans="1:14" ht="14.4" customHeight="1">
      <c r="A70" s="9">
        <v>1810</v>
      </c>
      <c r="B70" s="5">
        <v>1.01</v>
      </c>
      <c r="C70" s="4" t="s">
        <v>9</v>
      </c>
      <c r="D70" s="4" t="s">
        <v>10</v>
      </c>
      <c r="E70" s="4" t="s">
        <v>17</v>
      </c>
      <c r="F70" s="11">
        <f>A70/B70</f>
        <v>1792.079207920792</v>
      </c>
      <c r="H70" s="9">
        <v>1770</v>
      </c>
      <c r="I70" s="5">
        <v>1.17</v>
      </c>
      <c r="J70" s="4" t="s">
        <v>9</v>
      </c>
      <c r="K70" s="4" t="s">
        <v>12</v>
      </c>
      <c r="L70" s="4" t="s">
        <v>17</v>
      </c>
      <c r="M70" s="11">
        <f t="shared" si="5"/>
        <v>1512.8205128205129</v>
      </c>
      <c r="N70" s="7"/>
    </row>
    <row r="71" spans="1:14" ht="14.4" customHeight="1">
      <c r="A71" s="9">
        <v>1511</v>
      </c>
      <c r="B71" s="5">
        <v>1</v>
      </c>
      <c r="C71" s="4" t="s">
        <v>9</v>
      </c>
      <c r="D71" s="4" t="s">
        <v>10</v>
      </c>
      <c r="E71" s="4" t="s">
        <v>17</v>
      </c>
      <c r="F71" s="11">
        <f t="shared" si="4"/>
        <v>1511</v>
      </c>
      <c r="H71" s="9">
        <v>1320</v>
      </c>
      <c r="I71" s="5">
        <v>1.04</v>
      </c>
      <c r="J71" s="4" t="s">
        <v>9</v>
      </c>
      <c r="K71" s="4" t="s">
        <v>12</v>
      </c>
      <c r="L71" s="4" t="s">
        <v>17</v>
      </c>
      <c r="M71" s="11">
        <f t="shared" si="5"/>
        <v>1269.2307692307693</v>
      </c>
      <c r="N71" s="7"/>
    </row>
    <row r="72" spans="1:14" ht="14.4" customHeight="1">
      <c r="A72" s="9">
        <v>1655</v>
      </c>
      <c r="B72" s="5">
        <v>1</v>
      </c>
      <c r="C72" s="4" t="s">
        <v>9</v>
      </c>
      <c r="D72" s="4" t="s">
        <v>10</v>
      </c>
      <c r="E72" s="4" t="s">
        <v>18</v>
      </c>
      <c r="F72" s="11">
        <f t="shared" si="4"/>
        <v>1655</v>
      </c>
      <c r="H72" s="26"/>
      <c r="I72" s="27"/>
      <c r="J72" s="1" t="s">
        <v>9</v>
      </c>
      <c r="K72" s="1" t="s">
        <v>12</v>
      </c>
      <c r="L72" s="1" t="s">
        <v>18</v>
      </c>
      <c r="M72" s="28"/>
      <c r="N72" s="7"/>
    </row>
    <row r="73" spans="1:14" ht="14.4" customHeight="1">
      <c r="A73" s="9">
        <v>1057</v>
      </c>
      <c r="B73" s="5">
        <v>1</v>
      </c>
      <c r="C73" s="4" t="s">
        <v>9</v>
      </c>
      <c r="D73" s="4" t="s">
        <v>10</v>
      </c>
      <c r="E73" s="4" t="s">
        <v>18</v>
      </c>
      <c r="F73" s="11">
        <f t="shared" si="4"/>
        <v>1057</v>
      </c>
      <c r="G73" s="7" t="s">
        <v>71</v>
      </c>
      <c r="H73" s="26"/>
      <c r="I73" s="27"/>
      <c r="J73" s="1" t="s">
        <v>9</v>
      </c>
      <c r="K73" s="1" t="s">
        <v>12</v>
      </c>
      <c r="L73" s="1" t="s">
        <v>18</v>
      </c>
      <c r="M73" s="28"/>
      <c r="N73" s="7"/>
    </row>
    <row r="74" spans="1:14" ht="14.4" customHeight="1">
      <c r="A74" s="9">
        <v>1064</v>
      </c>
      <c r="B74" s="5">
        <v>1</v>
      </c>
      <c r="C74" s="4" t="s">
        <v>9</v>
      </c>
      <c r="D74" s="4" t="s">
        <v>10</v>
      </c>
      <c r="E74" s="4" t="s">
        <v>18</v>
      </c>
      <c r="F74" s="11">
        <f t="shared" si="4"/>
        <v>1064</v>
      </c>
      <c r="G74" s="7" t="s">
        <v>39</v>
      </c>
      <c r="H74" s="26"/>
      <c r="I74" s="27"/>
      <c r="J74" s="1" t="s">
        <v>9</v>
      </c>
      <c r="K74" s="1" t="s">
        <v>12</v>
      </c>
      <c r="L74" s="1" t="s">
        <v>18</v>
      </c>
      <c r="M74" s="28"/>
      <c r="N74" s="7"/>
    </row>
    <row r="77" spans="1:14" ht="14.4" customHeight="1">
      <c r="A77" s="154" t="s">
        <v>35</v>
      </c>
      <c r="B77" s="155"/>
      <c r="C77" s="155"/>
      <c r="D77" s="155"/>
      <c r="E77" s="155"/>
      <c r="F77" s="156"/>
      <c r="H77" s="154" t="s">
        <v>36</v>
      </c>
      <c r="I77" s="155"/>
      <c r="J77" s="155"/>
      <c r="K77" s="155"/>
      <c r="L77" s="155"/>
      <c r="M77" s="156"/>
    </row>
    <row r="78" spans="1:14" s="14" customFormat="1" ht="14.4" customHeight="1">
      <c r="A78" s="3" t="s">
        <v>3</v>
      </c>
      <c r="B78" s="3" t="s">
        <v>4</v>
      </c>
      <c r="C78" s="3" t="s">
        <v>5</v>
      </c>
      <c r="D78" s="3" t="s">
        <v>6</v>
      </c>
      <c r="E78" s="3" t="s">
        <v>7</v>
      </c>
      <c r="F78" s="3" t="s">
        <v>8</v>
      </c>
      <c r="G78" s="24"/>
      <c r="H78" s="3" t="s">
        <v>3</v>
      </c>
      <c r="I78" s="3" t="s">
        <v>4</v>
      </c>
      <c r="J78" s="3" t="s">
        <v>5</v>
      </c>
      <c r="K78" s="3" t="s">
        <v>6</v>
      </c>
      <c r="L78" s="3" t="s">
        <v>7</v>
      </c>
      <c r="M78" s="3" t="s">
        <v>8</v>
      </c>
    </row>
    <row r="79" spans="1:14" ht="14.4" customHeight="1">
      <c r="A79" s="9">
        <v>822</v>
      </c>
      <c r="B79" s="5">
        <v>1.03</v>
      </c>
      <c r="C79" s="4" t="s">
        <v>9</v>
      </c>
      <c r="D79" s="4" t="s">
        <v>21</v>
      </c>
      <c r="E79" s="4" t="s">
        <v>11</v>
      </c>
      <c r="F79" s="11">
        <f>A79/B79</f>
        <v>798.05825242718447</v>
      </c>
      <c r="G79" s="7" t="s">
        <v>37</v>
      </c>
      <c r="H79" s="30"/>
      <c r="I79" s="27"/>
      <c r="J79" s="1" t="s">
        <v>9</v>
      </c>
      <c r="K79" s="1" t="s">
        <v>22</v>
      </c>
      <c r="L79" s="1" t="s">
        <v>11</v>
      </c>
      <c r="M79" s="32"/>
    </row>
    <row r="80" spans="1:14" ht="14.4" customHeight="1">
      <c r="A80" s="9">
        <v>1008</v>
      </c>
      <c r="B80" s="5">
        <v>1.03</v>
      </c>
      <c r="C80" s="4" t="s">
        <v>9</v>
      </c>
      <c r="D80" s="4" t="s">
        <v>21</v>
      </c>
      <c r="E80" s="4" t="s">
        <v>11</v>
      </c>
      <c r="F80" s="11">
        <f>A80/B80</f>
        <v>978.64077669902906</v>
      </c>
      <c r="G80" s="7" t="s">
        <v>38</v>
      </c>
      <c r="H80" s="30"/>
      <c r="I80" s="27"/>
      <c r="J80" s="1" t="s">
        <v>9</v>
      </c>
      <c r="K80" s="1" t="s">
        <v>22</v>
      </c>
      <c r="L80" s="1" t="s">
        <v>11</v>
      </c>
      <c r="M80" s="32"/>
    </row>
    <row r="81" spans="1:14" ht="14.4" customHeight="1">
      <c r="A81" s="10"/>
      <c r="B81" s="29"/>
      <c r="C81" s="4" t="s">
        <v>9</v>
      </c>
      <c r="D81" s="4" t="s">
        <v>21</v>
      </c>
      <c r="E81" s="4" t="s">
        <v>11</v>
      </c>
      <c r="F81" s="12"/>
      <c r="H81" s="30"/>
      <c r="I81" s="27"/>
      <c r="J81" s="1" t="s">
        <v>9</v>
      </c>
      <c r="K81" s="1" t="s">
        <v>22</v>
      </c>
      <c r="L81" s="1" t="s">
        <v>11</v>
      </c>
      <c r="M81" s="32"/>
    </row>
    <row r="82" spans="1:14" ht="14.4" customHeight="1">
      <c r="A82" s="9">
        <v>1010</v>
      </c>
      <c r="B82" s="5">
        <v>1.01</v>
      </c>
      <c r="C82" s="4" t="s">
        <v>9</v>
      </c>
      <c r="D82" s="4" t="s">
        <v>21</v>
      </c>
      <c r="E82" s="4" t="s">
        <v>13</v>
      </c>
      <c r="F82" s="11">
        <f t="shared" ref="F82:F96" si="6">A82/B82</f>
        <v>1000</v>
      </c>
      <c r="G82" s="7" t="s">
        <v>37</v>
      </c>
      <c r="H82" s="31">
        <v>343</v>
      </c>
      <c r="I82" s="8">
        <v>1.01</v>
      </c>
      <c r="J82" s="1" t="s">
        <v>9</v>
      </c>
      <c r="K82" s="1" t="s">
        <v>22</v>
      </c>
      <c r="L82" s="1" t="s">
        <v>13</v>
      </c>
      <c r="M82" s="33">
        <f>H82/I82</f>
        <v>339.60396039603961</v>
      </c>
      <c r="N82" s="7" t="s">
        <v>71</v>
      </c>
    </row>
    <row r="83" spans="1:14" ht="14.4" customHeight="1">
      <c r="A83" s="9">
        <v>1010</v>
      </c>
      <c r="B83" s="5">
        <v>1</v>
      </c>
      <c r="C83" s="4" t="s">
        <v>9</v>
      </c>
      <c r="D83" s="4" t="s">
        <v>21</v>
      </c>
      <c r="E83" s="4" t="s">
        <v>13</v>
      </c>
      <c r="F83" s="11">
        <f t="shared" si="6"/>
        <v>1010</v>
      </c>
      <c r="G83" s="7" t="s">
        <v>37</v>
      </c>
      <c r="H83" s="30"/>
      <c r="I83" s="27"/>
      <c r="J83" s="1" t="s">
        <v>9</v>
      </c>
      <c r="K83" s="1" t="s">
        <v>22</v>
      </c>
      <c r="L83" s="1" t="s">
        <v>13</v>
      </c>
      <c r="M83" s="32"/>
    </row>
    <row r="84" spans="1:14" ht="14.4" customHeight="1">
      <c r="A84" s="9">
        <v>665</v>
      </c>
      <c r="B84" s="5">
        <v>1.01</v>
      </c>
      <c r="C84" s="4" t="s">
        <v>9</v>
      </c>
      <c r="D84" s="4" t="s">
        <v>21</v>
      </c>
      <c r="E84" s="4" t="s">
        <v>13</v>
      </c>
      <c r="F84" s="11">
        <f t="shared" si="6"/>
        <v>658.41584158415844</v>
      </c>
      <c r="G84" s="7" t="s">
        <v>71</v>
      </c>
      <c r="H84" s="30"/>
      <c r="I84" s="27"/>
      <c r="J84" s="1" t="s">
        <v>9</v>
      </c>
      <c r="K84" s="1" t="s">
        <v>22</v>
      </c>
      <c r="L84" s="1" t="s">
        <v>13</v>
      </c>
      <c r="M84" s="32"/>
    </row>
    <row r="85" spans="1:14" ht="14.4" customHeight="1">
      <c r="A85" s="9">
        <v>857</v>
      </c>
      <c r="B85" s="5">
        <v>1.02</v>
      </c>
      <c r="C85" s="4" t="s">
        <v>9</v>
      </c>
      <c r="D85" s="4" t="s">
        <v>21</v>
      </c>
      <c r="E85" s="4" t="s">
        <v>14</v>
      </c>
      <c r="F85" s="11">
        <f t="shared" si="6"/>
        <v>840.19607843137248</v>
      </c>
      <c r="G85" s="7" t="s">
        <v>37</v>
      </c>
      <c r="H85" s="31">
        <v>430</v>
      </c>
      <c r="I85" s="8">
        <v>1.08</v>
      </c>
      <c r="J85" s="1" t="s">
        <v>9</v>
      </c>
      <c r="K85" s="1" t="s">
        <v>22</v>
      </c>
      <c r="L85" s="1" t="s">
        <v>14</v>
      </c>
      <c r="M85" s="33">
        <f t="shared" ref="M85:M93" si="7">H85/I85</f>
        <v>398.1481481481481</v>
      </c>
      <c r="N85" s="7" t="s">
        <v>71</v>
      </c>
    </row>
    <row r="86" spans="1:14" ht="14.4" customHeight="1">
      <c r="A86" s="9">
        <v>1161</v>
      </c>
      <c r="B86" s="5">
        <v>1.02</v>
      </c>
      <c r="C86" s="4" t="s">
        <v>9</v>
      </c>
      <c r="D86" s="4" t="s">
        <v>21</v>
      </c>
      <c r="E86" s="4" t="s">
        <v>14</v>
      </c>
      <c r="F86" s="11">
        <f t="shared" si="6"/>
        <v>1138.2352941176471</v>
      </c>
      <c r="G86" s="7" t="s">
        <v>38</v>
      </c>
      <c r="H86" s="31">
        <v>396</v>
      </c>
      <c r="I86" s="8">
        <v>1.08</v>
      </c>
      <c r="J86" s="1" t="s">
        <v>9</v>
      </c>
      <c r="K86" s="1" t="s">
        <v>22</v>
      </c>
      <c r="L86" s="1" t="s">
        <v>14</v>
      </c>
      <c r="M86" s="33">
        <f t="shared" si="7"/>
        <v>366.66666666666663</v>
      </c>
      <c r="N86" s="7" t="s">
        <v>38</v>
      </c>
    </row>
    <row r="87" spans="1:14" ht="14.4" customHeight="1">
      <c r="A87" s="9">
        <v>1132</v>
      </c>
      <c r="B87" s="5">
        <v>1.36</v>
      </c>
      <c r="C87" s="4" t="s">
        <v>9</v>
      </c>
      <c r="D87" s="4" t="s">
        <v>21</v>
      </c>
      <c r="E87" s="4" t="s">
        <v>14</v>
      </c>
      <c r="F87" s="11">
        <f t="shared" si="6"/>
        <v>832.35294117647049</v>
      </c>
      <c r="G87" s="7" t="s">
        <v>37</v>
      </c>
      <c r="H87" s="31">
        <v>441</v>
      </c>
      <c r="I87" s="8">
        <v>1</v>
      </c>
      <c r="J87" s="1" t="s">
        <v>9</v>
      </c>
      <c r="K87" s="1" t="s">
        <v>22</v>
      </c>
      <c r="L87" s="1" t="s">
        <v>14</v>
      </c>
      <c r="M87" s="33">
        <f t="shared" si="7"/>
        <v>441</v>
      </c>
      <c r="N87" s="7" t="s">
        <v>38</v>
      </c>
    </row>
    <row r="88" spans="1:14" ht="14.4" customHeight="1">
      <c r="A88" s="9">
        <v>1588</v>
      </c>
      <c r="B88" s="5">
        <v>1.05</v>
      </c>
      <c r="C88" s="4" t="s">
        <v>9</v>
      </c>
      <c r="D88" s="4" t="s">
        <v>21</v>
      </c>
      <c r="E88" s="4" t="s">
        <v>15</v>
      </c>
      <c r="F88" s="11">
        <f t="shared" si="6"/>
        <v>1512.3809523809523</v>
      </c>
      <c r="G88" s="7" t="s">
        <v>39</v>
      </c>
      <c r="H88" s="30"/>
      <c r="I88" s="27"/>
      <c r="J88" s="1" t="s">
        <v>9</v>
      </c>
      <c r="K88" s="1" t="s">
        <v>22</v>
      </c>
      <c r="L88" s="1" t="s">
        <v>15</v>
      </c>
      <c r="M88" s="32"/>
    </row>
    <row r="89" spans="1:14" ht="14.4" customHeight="1">
      <c r="A89" s="9">
        <v>1099</v>
      </c>
      <c r="B89" s="5">
        <v>1.08</v>
      </c>
      <c r="C89" s="4" t="s">
        <v>9</v>
      </c>
      <c r="D89" s="4" t="s">
        <v>21</v>
      </c>
      <c r="E89" s="4" t="s">
        <v>15</v>
      </c>
      <c r="F89" s="11">
        <f t="shared" si="6"/>
        <v>1017.5925925925925</v>
      </c>
      <c r="G89" s="7" t="s">
        <v>39</v>
      </c>
      <c r="H89" s="30"/>
      <c r="I89" s="27"/>
      <c r="J89" s="1" t="s">
        <v>9</v>
      </c>
      <c r="K89" s="1" t="s">
        <v>22</v>
      </c>
      <c r="L89" s="1" t="s">
        <v>15</v>
      </c>
      <c r="M89" s="32"/>
    </row>
    <row r="90" spans="1:14" ht="14.4" customHeight="1">
      <c r="A90" s="9">
        <v>1201</v>
      </c>
      <c r="B90" s="5">
        <v>1.04</v>
      </c>
      <c r="C90" s="4" t="s">
        <v>9</v>
      </c>
      <c r="D90" s="4" t="s">
        <v>21</v>
      </c>
      <c r="E90" s="4" t="s">
        <v>15</v>
      </c>
      <c r="F90" s="11">
        <f t="shared" si="6"/>
        <v>1154.8076923076924</v>
      </c>
      <c r="G90" s="7" t="s">
        <v>39</v>
      </c>
      <c r="H90" s="30"/>
      <c r="I90" s="27"/>
      <c r="J90" s="1" t="s">
        <v>9</v>
      </c>
      <c r="K90" s="1" t="s">
        <v>22</v>
      </c>
      <c r="L90" s="1" t="s">
        <v>15</v>
      </c>
      <c r="M90" s="32"/>
    </row>
    <row r="91" spans="1:14" ht="14.4" customHeight="1">
      <c r="A91" s="9">
        <v>1005</v>
      </c>
      <c r="B91" s="5">
        <v>1</v>
      </c>
      <c r="C91" s="4" t="s">
        <v>9</v>
      </c>
      <c r="D91" s="4" t="s">
        <v>21</v>
      </c>
      <c r="E91" s="4" t="s">
        <v>16</v>
      </c>
      <c r="F91" s="11">
        <f t="shared" si="6"/>
        <v>1005</v>
      </c>
      <c r="G91" s="7" t="s">
        <v>37</v>
      </c>
      <c r="H91" s="31">
        <v>436</v>
      </c>
      <c r="I91" s="8">
        <v>1.1000000000000001</v>
      </c>
      <c r="J91" s="1" t="s">
        <v>9</v>
      </c>
      <c r="K91" s="1" t="s">
        <v>22</v>
      </c>
      <c r="L91" s="1" t="s">
        <v>16</v>
      </c>
      <c r="M91" s="33">
        <f t="shared" si="7"/>
        <v>396.36363636363632</v>
      </c>
      <c r="N91" s="7" t="s">
        <v>71</v>
      </c>
    </row>
    <row r="92" spans="1:14" ht="14.4" customHeight="1">
      <c r="A92" s="9">
        <v>1644</v>
      </c>
      <c r="B92" s="5">
        <v>1.05</v>
      </c>
      <c r="C92" s="4" t="s">
        <v>9</v>
      </c>
      <c r="D92" s="4" t="s">
        <v>21</v>
      </c>
      <c r="E92" s="4" t="s">
        <v>16</v>
      </c>
      <c r="F92" s="11">
        <f t="shared" si="6"/>
        <v>1565.7142857142856</v>
      </c>
      <c r="G92" s="7" t="s">
        <v>37</v>
      </c>
      <c r="H92" s="31">
        <v>513.37</v>
      </c>
      <c r="I92" s="8">
        <v>1.1000000000000001</v>
      </c>
      <c r="J92" s="1" t="s">
        <v>9</v>
      </c>
      <c r="K92" s="1" t="s">
        <v>22</v>
      </c>
      <c r="L92" s="1" t="s">
        <v>16</v>
      </c>
      <c r="M92" s="33">
        <f t="shared" si="7"/>
        <v>466.7</v>
      </c>
      <c r="N92" s="34" t="s">
        <v>73</v>
      </c>
    </row>
    <row r="93" spans="1:14" ht="14.4" customHeight="1">
      <c r="A93" s="9">
        <v>1600</v>
      </c>
      <c r="B93" s="5">
        <v>1.02</v>
      </c>
      <c r="C93" s="4" t="s">
        <v>9</v>
      </c>
      <c r="D93" s="4" t="s">
        <v>21</v>
      </c>
      <c r="E93" s="4" t="s">
        <v>16</v>
      </c>
      <c r="F93" s="11">
        <f t="shared" si="6"/>
        <v>1568.627450980392</v>
      </c>
      <c r="G93" s="7" t="s">
        <v>37</v>
      </c>
      <c r="H93" s="31">
        <v>648</v>
      </c>
      <c r="I93" s="8">
        <v>1.1000000000000001</v>
      </c>
      <c r="J93" s="1" t="s">
        <v>9</v>
      </c>
      <c r="K93" s="1" t="s">
        <v>22</v>
      </c>
      <c r="L93" s="1" t="s">
        <v>16</v>
      </c>
      <c r="M93" s="33">
        <f t="shared" si="7"/>
        <v>589.09090909090901</v>
      </c>
      <c r="N93" s="7" t="s">
        <v>38</v>
      </c>
    </row>
    <row r="94" spans="1:14" ht="14.4" customHeight="1">
      <c r="A94" s="9">
        <v>1123</v>
      </c>
      <c r="B94" s="5">
        <v>1.1100000000000001</v>
      </c>
      <c r="C94" s="4" t="s">
        <v>9</v>
      </c>
      <c r="D94" s="4" t="s">
        <v>21</v>
      </c>
      <c r="E94" s="4" t="s">
        <v>17</v>
      </c>
      <c r="F94" s="11">
        <f t="shared" si="6"/>
        <v>1011.7117117117116</v>
      </c>
      <c r="G94" s="7" t="s">
        <v>37</v>
      </c>
      <c r="H94" s="30"/>
      <c r="I94" s="27"/>
      <c r="J94" s="1" t="s">
        <v>9</v>
      </c>
      <c r="K94" s="1" t="s">
        <v>22</v>
      </c>
      <c r="L94" s="1" t="s">
        <v>17</v>
      </c>
      <c r="M94" s="32"/>
      <c r="N94" s="1"/>
    </row>
    <row r="95" spans="1:14" ht="14.4" customHeight="1">
      <c r="A95" s="9">
        <v>1140</v>
      </c>
      <c r="B95" s="5">
        <v>1.02</v>
      </c>
      <c r="C95" s="4" t="s">
        <v>9</v>
      </c>
      <c r="D95" s="4" t="s">
        <v>21</v>
      </c>
      <c r="E95" s="4" t="s">
        <v>17</v>
      </c>
      <c r="F95" s="11">
        <f t="shared" si="6"/>
        <v>1117.6470588235295</v>
      </c>
      <c r="G95" s="7" t="s">
        <v>40</v>
      </c>
      <c r="H95" s="30"/>
      <c r="I95" s="27"/>
      <c r="J95" s="1" t="s">
        <v>9</v>
      </c>
      <c r="K95" s="1" t="s">
        <v>22</v>
      </c>
      <c r="L95" s="1" t="s">
        <v>17</v>
      </c>
      <c r="M95" s="32"/>
    </row>
    <row r="96" spans="1:14" ht="14.4" customHeight="1">
      <c r="A96" s="9">
        <v>1069</v>
      </c>
      <c r="B96" s="5">
        <v>1.1100000000000001</v>
      </c>
      <c r="C96" s="4" t="s">
        <v>9</v>
      </c>
      <c r="D96" s="4" t="s">
        <v>21</v>
      </c>
      <c r="E96" s="4" t="s">
        <v>17</v>
      </c>
      <c r="F96" s="11">
        <f t="shared" si="6"/>
        <v>963.06306306306294</v>
      </c>
      <c r="G96" s="7" t="s">
        <v>72</v>
      </c>
      <c r="H96" s="30"/>
      <c r="I96" s="27"/>
      <c r="J96" s="1" t="s">
        <v>9</v>
      </c>
      <c r="K96" s="1" t="s">
        <v>22</v>
      </c>
      <c r="L96" s="1" t="s">
        <v>17</v>
      </c>
      <c r="M96" s="32"/>
    </row>
    <row r="97" spans="1:13" ht="14.4" customHeight="1">
      <c r="A97" s="10"/>
      <c r="B97" s="29"/>
      <c r="C97" s="4" t="s">
        <v>9</v>
      </c>
      <c r="D97" s="4" t="s">
        <v>21</v>
      </c>
      <c r="E97" s="4" t="s">
        <v>18</v>
      </c>
      <c r="F97" s="12"/>
      <c r="H97" s="30"/>
      <c r="I97" s="27"/>
      <c r="J97" s="1" t="s">
        <v>9</v>
      </c>
      <c r="K97" s="1" t="s">
        <v>22</v>
      </c>
      <c r="L97" s="1" t="s">
        <v>18</v>
      </c>
      <c r="M97" s="32"/>
    </row>
    <row r="98" spans="1:13" ht="14.4" customHeight="1">
      <c r="A98" s="10"/>
      <c r="B98" s="29"/>
      <c r="C98" s="4" t="s">
        <v>9</v>
      </c>
      <c r="D98" s="4" t="s">
        <v>21</v>
      </c>
      <c r="E98" s="4" t="s">
        <v>18</v>
      </c>
      <c r="F98" s="12"/>
      <c r="H98" s="30"/>
      <c r="I98" s="27"/>
      <c r="J98" s="1" t="s">
        <v>9</v>
      </c>
      <c r="K98" s="1" t="s">
        <v>22</v>
      </c>
      <c r="L98" s="1" t="s">
        <v>18</v>
      </c>
      <c r="M98" s="32"/>
    </row>
    <row r="99" spans="1:13" ht="14.4" customHeight="1">
      <c r="A99" s="10"/>
      <c r="B99" s="29"/>
      <c r="C99" s="4" t="s">
        <v>9</v>
      </c>
      <c r="D99" s="4" t="s">
        <v>21</v>
      </c>
      <c r="E99" s="4" t="s">
        <v>18</v>
      </c>
      <c r="F99" s="12"/>
      <c r="H99" s="30"/>
      <c r="I99" s="27"/>
      <c r="J99" s="1" t="s">
        <v>9</v>
      </c>
      <c r="K99" s="1" t="s">
        <v>22</v>
      </c>
      <c r="L99" s="1" t="s">
        <v>18</v>
      </c>
      <c r="M99" s="32"/>
    </row>
  </sheetData>
  <mergeCells count="10">
    <mergeCell ref="A27:F27"/>
    <mergeCell ref="H27:M27"/>
    <mergeCell ref="A77:F77"/>
    <mergeCell ref="H77:M77"/>
    <mergeCell ref="A1:F1"/>
    <mergeCell ref="H1:M1"/>
    <mergeCell ref="A2:F2"/>
    <mergeCell ref="H2:M2"/>
    <mergeCell ref="A52:F52"/>
    <mergeCell ref="H52:M52"/>
  </mergeCells>
  <hyperlinks>
    <hyperlink ref="G96" r:id="rId1" display="https://www.javda.com/labgrown/" xr:uid="{522BDEE2-CE1E-439D-BFD0-B538A5C3FEDF}"/>
    <hyperlink ref="G73" r:id="rId2" display="https://www.loosegrowndiamond.com/" xr:uid="{0A740A43-4948-4E47-8E21-2E72A63365B5}"/>
    <hyperlink ref="G84" r:id="rId3" display="https://www.loosegrowndiamond.com/" xr:uid="{47E6CF5C-8B51-4C1F-80C0-C4C8E31FE57A}"/>
    <hyperlink ref="N82" r:id="rId4" display="https://www.loosegrowndiamond.com/" xr:uid="{3A1A7C45-F6FE-4681-B8F2-FE4E759C0DCA}"/>
    <hyperlink ref="N85" r:id="rId5" display="https://www.loosegrowndiamond.com/" xr:uid="{F0E68E58-DD49-4AEF-88ED-26D16A7A654C}"/>
    <hyperlink ref="N91" r:id="rId6" display="https://www.loosegrowndiamond.com/" xr:uid="{5B810950-0CD8-48E9-9CA7-58AFE9BBB56D}"/>
  </hyperlinks>
  <pageMargins left="0.7" right="0.7" top="0.75" bottom="0.75" header="0.3" footer="0.3"/>
  <pageSetup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290C1-0BAB-1C44-96FB-326706BC06F3}">
  <sheetPr codeName="Sheet4"/>
  <dimension ref="B1:R13"/>
  <sheetViews>
    <sheetView zoomScale="82" zoomScaleNormal="82" workbookViewId="0">
      <selection activeCell="J23" sqref="J23"/>
    </sheetView>
  </sheetViews>
  <sheetFormatPr defaultColWidth="11.44140625" defaultRowHeight="14.4"/>
  <cols>
    <col min="1" max="1" width="2.33203125" customWidth="1"/>
    <col min="2" max="2" width="19.44140625" bestFit="1" customWidth="1"/>
    <col min="3" max="9" width="12.88671875" customWidth="1"/>
    <col min="10" max="10" width="10.77734375" bestFit="1" customWidth="1"/>
    <col min="11" max="11" width="19.44140625" bestFit="1" customWidth="1"/>
    <col min="12" max="18" width="12.44140625" customWidth="1"/>
  </cols>
  <sheetData>
    <row r="1" spans="2:18" ht="13.2" customHeight="1" thickBot="1"/>
    <row r="2" spans="2:18" ht="23.4">
      <c r="B2" s="158" t="s">
        <v>31</v>
      </c>
      <c r="C2" s="159"/>
      <c r="D2" s="159"/>
      <c r="E2" s="159"/>
      <c r="F2" s="159"/>
      <c r="G2" s="159"/>
      <c r="H2" s="159"/>
      <c r="I2" s="160"/>
      <c r="K2" s="158" t="s">
        <v>70</v>
      </c>
      <c r="L2" s="159"/>
      <c r="M2" s="159"/>
      <c r="N2" s="159"/>
      <c r="O2" s="159"/>
      <c r="P2" s="159"/>
      <c r="Q2" s="159"/>
      <c r="R2" s="160"/>
    </row>
    <row r="3" spans="2:18" s="57" customFormat="1" ht="18">
      <c r="B3" s="63" t="s">
        <v>32</v>
      </c>
      <c r="C3" s="63" t="s">
        <v>18</v>
      </c>
      <c r="D3" s="64" t="s">
        <v>17</v>
      </c>
      <c r="E3" s="64" t="s">
        <v>16</v>
      </c>
      <c r="F3" s="64" t="s">
        <v>15</v>
      </c>
      <c r="G3" s="64" t="s">
        <v>14</v>
      </c>
      <c r="H3" s="64" t="s">
        <v>13</v>
      </c>
      <c r="I3" s="65" t="s">
        <v>11</v>
      </c>
      <c r="K3" s="69" t="s">
        <v>32</v>
      </c>
      <c r="L3" s="69" t="s">
        <v>18</v>
      </c>
      <c r="M3" s="70" t="s">
        <v>17</v>
      </c>
      <c r="N3" s="70" t="s">
        <v>16</v>
      </c>
      <c r="O3" s="70" t="s">
        <v>15</v>
      </c>
      <c r="P3" s="70" t="s">
        <v>14</v>
      </c>
      <c r="Q3" s="70" t="s">
        <v>13</v>
      </c>
      <c r="R3" s="71" t="s">
        <v>11</v>
      </c>
    </row>
    <row r="4" spans="2:18" s="57" customFormat="1" ht="18">
      <c r="B4" s="67" t="s">
        <v>25</v>
      </c>
      <c r="C4" s="66">
        <f>AVERAGE('Natural Diamond Data'!F22:F24)</f>
        <v>7254.44</v>
      </c>
      <c r="D4" s="58">
        <f>AVERAGE('Natural Diamond Data'!F19:F21)</f>
        <v>6356.6766666666663</v>
      </c>
      <c r="E4" s="58">
        <f>AVERAGE('Natural Diamond Data'!F16:F18)</f>
        <v>6162.4199999999992</v>
      </c>
      <c r="F4" s="58">
        <f>AVERAGE('Natural Diamond Data'!F10:F12)</f>
        <v>5252.2433333333329</v>
      </c>
      <c r="G4" s="58">
        <f>AVERAGE('Natural Diamond Data'!F13:F15)</f>
        <v>6514.7966666666662</v>
      </c>
      <c r="H4" s="58">
        <f>AVERAGE('Natural Diamond Data'!F7:F9)</f>
        <v>3596.2033333333334</v>
      </c>
      <c r="I4" s="58">
        <f>AVERAGE('Natural Diamond Data'!F4:F6)</f>
        <v>2481.9466666666667</v>
      </c>
      <c r="K4" s="73" t="s">
        <v>25</v>
      </c>
      <c r="L4" s="74">
        <v>3857.4421118094106</v>
      </c>
      <c r="M4" s="72">
        <v>2416.9266291422227</v>
      </c>
      <c r="N4" s="72">
        <v>2246.3818433125366</v>
      </c>
      <c r="O4" s="72">
        <v>1921.6576785883717</v>
      </c>
      <c r="P4" s="72">
        <v>1763.5087257659618</v>
      </c>
      <c r="Q4" s="72">
        <v>1370.0914873418806</v>
      </c>
      <c r="R4" s="72">
        <v>1134.8450661579921</v>
      </c>
    </row>
    <row r="5" spans="2:18" s="57" customFormat="1" ht="18">
      <c r="B5" s="62" t="s">
        <v>26</v>
      </c>
      <c r="C5" s="58">
        <f>AVERAGE('Natural Diamond Data'!N22:N24)</f>
        <v>6343.5166666666664</v>
      </c>
      <c r="D5" s="58">
        <f>AVERAGE('Natural Diamond Data'!N19:N21)</f>
        <v>6461.833333333333</v>
      </c>
      <c r="E5" s="58">
        <f>AVERAGE('Natural Diamond Data'!N16:N18)</f>
        <v>5893.07</v>
      </c>
      <c r="F5" s="58">
        <f>AVERAGE('Natural Diamond Data'!N10:N12)</f>
        <v>4596.82</v>
      </c>
      <c r="G5" s="58">
        <f>AVERAGE('Natural Diamond Data'!N13:N15)</f>
        <v>5013.086666666667</v>
      </c>
      <c r="H5" s="58">
        <f>AVERAGE('Natural Diamond Data'!N7:N9)</f>
        <v>2892.126666666667</v>
      </c>
      <c r="I5" s="58">
        <f>AVERAGE('Natural Diamond Data'!N4:N6)</f>
        <v>1746.605</v>
      </c>
      <c r="K5" s="75" t="s">
        <v>26</v>
      </c>
      <c r="L5" s="72">
        <v>2566.8877099911583</v>
      </c>
      <c r="M5" s="72">
        <v>2826.3896594236398</v>
      </c>
      <c r="N5" s="72">
        <v>1992.5302845420622</v>
      </c>
      <c r="O5" s="72">
        <v>1520.2368990289021</v>
      </c>
      <c r="P5" s="72">
        <v>1330.2457629540713</v>
      </c>
      <c r="Q5" s="72">
        <v>1387.2222222222219</v>
      </c>
      <c r="R5" s="72">
        <v>1525.2222222222219</v>
      </c>
    </row>
    <row r="6" spans="2:18" s="57" customFormat="1" ht="18">
      <c r="B6" s="62" t="s">
        <v>29</v>
      </c>
      <c r="C6" s="58">
        <f>AVERAGE('Natural Diamond Data'!F47:F49)</f>
        <v>7200.0566666666664</v>
      </c>
      <c r="D6" s="58">
        <f>AVERAGE('Natural Diamond Data'!F44:F46)</f>
        <v>6074.9199999999992</v>
      </c>
      <c r="E6" s="58">
        <f>AVERAGE('Natural Diamond Data'!F41:F43)</f>
        <v>6003.0366666666669</v>
      </c>
      <c r="F6" s="58">
        <f>AVERAGE('Natural Diamond Data'!F35:F37)</f>
        <v>4881.5166666666673</v>
      </c>
      <c r="G6" s="58">
        <f>AVERAGE('Natural Diamond Data'!F38:F40)</f>
        <v>4740.7766666666666</v>
      </c>
      <c r="H6" s="58">
        <f>AVERAGE('Natural Diamond Data'!F32:F34)</f>
        <v>3869.1666666666665</v>
      </c>
      <c r="I6" s="58">
        <f>AVERAGE('Natural Diamond Data'!F29:F31)</f>
        <v>1862.87</v>
      </c>
      <c r="K6" s="75" t="s">
        <v>29</v>
      </c>
      <c r="L6" s="72">
        <v>2267</v>
      </c>
      <c r="M6" s="72">
        <v>2087.9718814972834</v>
      </c>
      <c r="N6" s="72">
        <v>1684.2315515955263</v>
      </c>
      <c r="O6" s="72">
        <v>1384.5366284201234</v>
      </c>
      <c r="P6" s="72">
        <v>1272.7008484553241</v>
      </c>
      <c r="Q6" s="72">
        <v>1052.1232913515698</v>
      </c>
      <c r="R6" s="72">
        <v>1139.8531029573546</v>
      </c>
    </row>
    <row r="7" spans="2:18" s="57" customFormat="1" ht="18">
      <c r="B7" s="62" t="s">
        <v>30</v>
      </c>
      <c r="C7" s="58">
        <f>AVERAGE('Natural Diamond Data'!N47:N49)</f>
        <v>6468.5466666666662</v>
      </c>
      <c r="D7" s="58">
        <f>AVERAGE('Natural Diamond Data'!N44:N46)</f>
        <v>4832.376666666667</v>
      </c>
      <c r="E7" s="58">
        <f>AVERAGE('Natural Diamond Data'!N41:N43)</f>
        <v>4882.9800000000005</v>
      </c>
      <c r="F7" s="58">
        <f>AVERAGE('Natural Diamond Data'!N35:N37)</f>
        <v>4765.1366666666663</v>
      </c>
      <c r="G7" s="58">
        <f>AVERAGE('Natural Diamond Data'!N38:N40)</f>
        <v>4459.4066666666668</v>
      </c>
      <c r="H7" s="58">
        <f>AVERAGE('Natural Diamond Data'!N32:N34)</f>
        <v>3067.47</v>
      </c>
      <c r="I7" s="58">
        <f>AVERAGE('Natural Diamond Data'!N29:N31)</f>
        <v>1754.4533333333331</v>
      </c>
      <c r="K7" s="75" t="s">
        <v>30</v>
      </c>
      <c r="L7" s="72">
        <v>2207.8205128205127</v>
      </c>
      <c r="M7" s="72">
        <v>1581.0824534071896</v>
      </c>
      <c r="N7" s="72">
        <v>1697.8568997374307</v>
      </c>
      <c r="O7" s="72">
        <v>1456.8614978621656</v>
      </c>
      <c r="P7" s="72">
        <v>1387.3306822485529</v>
      </c>
      <c r="Q7" s="72">
        <v>972.67986798679874</v>
      </c>
      <c r="R7" s="72">
        <v>1152.1126785244896</v>
      </c>
    </row>
    <row r="8" spans="2:18" s="57" customFormat="1" ht="18">
      <c r="B8" s="62" t="s">
        <v>10</v>
      </c>
      <c r="C8" s="58">
        <f>AVERAGE('Natural Diamond Data'!F72:F74)</f>
        <v>5243.3877170325732</v>
      </c>
      <c r="D8" s="58">
        <f>AVERAGE('Natural Diamond Data'!F69:F71)</f>
        <v>7043.0059523809532</v>
      </c>
      <c r="E8" s="58">
        <f>AVERAGE('Natural Diamond Data'!F66:F68)</f>
        <v>6305.0039391611499</v>
      </c>
      <c r="F8" s="58">
        <f>AVERAGE('Natural Diamond Data'!F63:F65)</f>
        <v>5802.9922992299225</v>
      </c>
      <c r="G8" s="58">
        <f>AVERAGE('Natural Diamond Data'!F60:F62)</f>
        <v>5226.3696369636964</v>
      </c>
      <c r="H8" s="58">
        <f>AVERAGE('Natural Diamond Data'!F57:F59)</f>
        <v>3856.6666666666665</v>
      </c>
      <c r="I8" s="58">
        <f>AVERAGE('Natural Diamond Data'!F54:F56)</f>
        <v>3040</v>
      </c>
      <c r="K8" s="75" t="s">
        <v>10</v>
      </c>
      <c r="L8" s="72">
        <v>1258.6666666666667</v>
      </c>
      <c r="M8" s="72">
        <v>1689.6228938683344</v>
      </c>
      <c r="N8" s="72">
        <v>1683.2038469804427</v>
      </c>
      <c r="O8" s="72">
        <v>1460.050107372942</v>
      </c>
      <c r="P8" s="72">
        <v>1392.9698212970354</v>
      </c>
      <c r="Q8" s="72">
        <v>1090.9638186040827</v>
      </c>
      <c r="R8" s="72">
        <v>1038.5595238095236</v>
      </c>
    </row>
    <row r="9" spans="2:18" s="57" customFormat="1" ht="18">
      <c r="B9" s="62" t="s">
        <v>12</v>
      </c>
      <c r="C9" s="58">
        <f>AVERAGE('Natural Diamond Data'!N72:N74)</f>
        <v>5168.8362192383629</v>
      </c>
      <c r="D9" s="58">
        <f>AVERAGE('Natural Diamond Data'!N69:N71)</f>
        <v>5003.7926743494018</v>
      </c>
      <c r="E9" s="58">
        <f>AVERAGE('Natural Diamond Data'!N66:N68)</f>
        <v>4141.3841972432538</v>
      </c>
      <c r="F9" s="58">
        <f>AVERAGE('Natural Diamond Data'!N63:N65)</f>
        <v>3183.7689768976902</v>
      </c>
      <c r="G9" s="58">
        <f>AVERAGE('Natural Diamond Data'!N60:N62)</f>
        <v>4358.5907859078588</v>
      </c>
      <c r="H9" s="58">
        <f>AVERAGE('Natural Diamond Data'!N57:N59)</f>
        <v>3750.6666666666665</v>
      </c>
      <c r="I9" s="58">
        <f>AVERAGE('Natural Diamond Data'!N54:N56)</f>
        <v>3306.6666666666665</v>
      </c>
      <c r="K9" s="75" t="s">
        <v>12</v>
      </c>
      <c r="L9" s="72"/>
      <c r="M9" s="72">
        <v>1349.5726495726497</v>
      </c>
      <c r="N9" s="72">
        <v>1238.9655377362403</v>
      </c>
      <c r="O9" s="72">
        <v>1195.5162009707465</v>
      </c>
      <c r="P9" s="72">
        <v>1076.4013267482408</v>
      </c>
      <c r="Q9" s="72">
        <v>1123.1322272498744</v>
      </c>
      <c r="R9" s="72">
        <v>1029.1243831363763</v>
      </c>
    </row>
    <row r="10" spans="2:18" s="57" customFormat="1" ht="18">
      <c r="B10" s="62" t="s">
        <v>21</v>
      </c>
      <c r="C10" s="58">
        <f>AVERAGE('Natural Diamond Data'!F97:F99)</f>
        <v>3373.1154063121644</v>
      </c>
      <c r="D10" s="58">
        <f>AVERAGE('Natural Diamond Data'!F94:F96)</f>
        <v>3164.0264026402638</v>
      </c>
      <c r="E10" s="58">
        <f>AVERAGE('Natural Diamond Data'!F91:F93)</f>
        <v>3789.339933993399</v>
      </c>
      <c r="F10" s="58">
        <f>AVERAGE('Natural Diamond Data'!F88:F90)</f>
        <v>3040.5940594059407</v>
      </c>
      <c r="G10" s="58">
        <f>AVERAGE('Natural Diamond Data'!F85:F87)</f>
        <v>3275.7269700332963</v>
      </c>
      <c r="H10" s="58">
        <f>AVERAGE('Natural Diamond Data'!F82:F84)</f>
        <v>3276.002717918851</v>
      </c>
      <c r="I10" s="58">
        <f>AVERAGE('Natural Diamond Data'!F79:F81)</f>
        <v>3025.8861340679523</v>
      </c>
      <c r="K10" s="75" t="s">
        <v>21</v>
      </c>
      <c r="L10" s="72"/>
      <c r="M10" s="72">
        <v>1030.8072778661015</v>
      </c>
      <c r="N10" s="72">
        <v>1379.7805788982259</v>
      </c>
      <c r="O10" s="72">
        <v>1228.260412427079</v>
      </c>
      <c r="P10" s="72">
        <v>936.9281045751635</v>
      </c>
      <c r="Q10" s="72">
        <v>889.47194719471952</v>
      </c>
      <c r="R10" s="72">
        <v>888.34951456310682</v>
      </c>
    </row>
    <row r="11" spans="2:18" s="57" customFormat="1" ht="18.600000000000001" thickBot="1">
      <c r="B11" s="68" t="s">
        <v>22</v>
      </c>
      <c r="C11" s="59">
        <f>AVERAGE('Natural Diamond Data'!N97:N99)</f>
        <v>2626.7843137254899</v>
      </c>
      <c r="D11" s="58">
        <f>AVERAGE('Natural Diamond Data'!N94:N96)</f>
        <v>2456.5165016501651</v>
      </c>
      <c r="E11" s="58">
        <f>AVERAGE('Natural Diamond Data'!N91:N93)</f>
        <v>2112.9198213939039</v>
      </c>
      <c r="F11" s="58">
        <f>AVERAGE('Natural Diamond Data'!N88:N90)</f>
        <v>1866.8118811881188</v>
      </c>
      <c r="G11" s="58">
        <f>AVERAGE('Natural Diamond Data'!N85:N87)</f>
        <v>1881.6946260663801</v>
      </c>
      <c r="H11" s="58">
        <f>AVERAGE('Natural Diamond Data'!N82:N84)</f>
        <v>1985.8679547566408</v>
      </c>
      <c r="I11" s="58">
        <f>AVERAGE('Natural Diamond Data'!N79:N81)</f>
        <v>1539.6327982312794</v>
      </c>
      <c r="K11" s="75" t="s">
        <v>22</v>
      </c>
      <c r="L11" s="72"/>
      <c r="M11" s="72"/>
      <c r="N11" s="72">
        <v>484.0515151515151</v>
      </c>
      <c r="O11" s="72"/>
      <c r="P11" s="72">
        <v>401.93827160493828</v>
      </c>
      <c r="Q11" s="72">
        <v>339.60396039603961</v>
      </c>
      <c r="R11" s="72"/>
    </row>
    <row r="12" spans="2:18" s="57" customFormat="1" ht="18">
      <c r="B12" s="61" t="s">
        <v>100</v>
      </c>
      <c r="C12" s="60">
        <f>MAX(C4:I11)</f>
        <v>7254.44</v>
      </c>
      <c r="K12" s="61" t="s">
        <v>100</v>
      </c>
      <c r="L12" s="58">
        <f>MAX(L4:R11)</f>
        <v>3857.4421118094106</v>
      </c>
    </row>
    <row r="13" spans="2:18" s="57" customFormat="1" ht="18">
      <c r="B13" s="62" t="s">
        <v>101</v>
      </c>
      <c r="C13" s="58">
        <f>MIN(C4:I11)</f>
        <v>1539.6327982312794</v>
      </c>
      <c r="K13" s="62" t="s">
        <v>101</v>
      </c>
      <c r="L13" s="58">
        <f>MIN(L4:R11)</f>
        <v>339.60396039603961</v>
      </c>
    </row>
  </sheetData>
  <mergeCells count="2">
    <mergeCell ref="B2:I2"/>
    <mergeCell ref="K2:R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EA92C-D3A8-492E-877E-A6ECE6700FE1}">
  <sheetPr codeName="Sheet6"/>
  <dimension ref="A1:Q35"/>
  <sheetViews>
    <sheetView topLeftCell="A7" workbookViewId="0">
      <selection activeCell="J27" sqref="J27"/>
    </sheetView>
  </sheetViews>
  <sheetFormatPr defaultColWidth="11.44140625" defaultRowHeight="14.4"/>
  <sheetData>
    <row r="1" spans="1:17">
      <c r="A1" s="161" t="s">
        <v>31</v>
      </c>
      <c r="B1" s="162"/>
      <c r="C1" s="162"/>
      <c r="D1" s="162"/>
      <c r="E1" s="162"/>
      <c r="F1" s="162"/>
      <c r="G1" s="162"/>
      <c r="H1" s="163"/>
      <c r="J1" s="161" t="s">
        <v>70</v>
      </c>
      <c r="K1" s="162"/>
      <c r="L1" s="162"/>
      <c r="M1" s="162"/>
      <c r="N1" s="162"/>
      <c r="O1" s="162"/>
      <c r="P1" s="162"/>
      <c r="Q1" s="163"/>
    </row>
    <row r="2" spans="1:17">
      <c r="A2" s="15" t="s">
        <v>32</v>
      </c>
      <c r="B2" s="16" t="s">
        <v>18</v>
      </c>
      <c r="C2" s="17" t="s">
        <v>17</v>
      </c>
      <c r="D2" s="17" t="s">
        <v>16</v>
      </c>
      <c r="E2" s="17" t="s">
        <v>15</v>
      </c>
      <c r="F2" s="17" t="s">
        <v>14</v>
      </c>
      <c r="G2" s="17" t="s">
        <v>13</v>
      </c>
      <c r="H2" s="18" t="s">
        <v>11</v>
      </c>
      <c r="J2" s="15" t="s">
        <v>32</v>
      </c>
      <c r="K2" s="16" t="s">
        <v>18</v>
      </c>
      <c r="L2" s="17" t="s">
        <v>17</v>
      </c>
      <c r="M2" s="17" t="s">
        <v>16</v>
      </c>
      <c r="N2" s="17" t="s">
        <v>15</v>
      </c>
      <c r="O2" s="17" t="s">
        <v>14</v>
      </c>
      <c r="P2" s="17" t="s">
        <v>13</v>
      </c>
      <c r="Q2" s="18" t="s">
        <v>11</v>
      </c>
    </row>
    <row r="3" spans="1:17">
      <c r="A3" s="15" t="s">
        <v>25</v>
      </c>
      <c r="B3" s="20">
        <f>AVERAGE('[1]Natural Diamond Data'!F22:F24)</f>
        <v>7254.44</v>
      </c>
      <c r="C3" s="20">
        <f>AVERAGE('[1]Natural Diamond Data'!F19:F21)</f>
        <v>6356.6766666666663</v>
      </c>
      <c r="D3" s="20">
        <f>AVERAGE('[1]Natural Diamond Data'!F16:F18)</f>
        <v>6162.4199999999992</v>
      </c>
      <c r="E3" s="20">
        <f>AVERAGE('[1]Natural Diamond Data'!F10:F12)</f>
        <v>5252.2433333333329</v>
      </c>
      <c r="F3" s="20">
        <f>AVERAGE('[1]Natural Diamond Data'!F13:F15)</f>
        <v>6514.7966666666662</v>
      </c>
      <c r="G3" s="20">
        <f>AVERAGE('[1]Natural Diamond Data'!F7:F9)</f>
        <v>3596.2033333333334</v>
      </c>
      <c r="H3" s="21">
        <f>AVERAGE('[1]Natural Diamond Data'!F4:F6)</f>
        <v>2481.9466666666667</v>
      </c>
      <c r="J3" s="15" t="s">
        <v>25</v>
      </c>
      <c r="K3" s="20">
        <v>3857.4421118094106</v>
      </c>
      <c r="L3" s="20">
        <v>2416.9266291422227</v>
      </c>
      <c r="M3" s="20">
        <v>2246.3818433125366</v>
      </c>
      <c r="N3" s="20">
        <v>1921.6576785883717</v>
      </c>
      <c r="O3" s="20">
        <v>1763.5087257659618</v>
      </c>
      <c r="P3" s="20">
        <v>1370.0914873418806</v>
      </c>
      <c r="Q3" s="21">
        <v>1134.8450661579921</v>
      </c>
    </row>
    <row r="4" spans="1:17">
      <c r="A4" s="15" t="s">
        <v>26</v>
      </c>
      <c r="B4" s="20">
        <f>AVERAGE('[1]Natural Diamond Data'!N22:N24)</f>
        <v>6343.5166666666664</v>
      </c>
      <c r="C4" s="20">
        <f>AVERAGE('[1]Natural Diamond Data'!N19:N21)</f>
        <v>6461.833333333333</v>
      </c>
      <c r="D4" s="20">
        <f>AVERAGE('[1]Natural Diamond Data'!N16:N18)</f>
        <v>5893.07</v>
      </c>
      <c r="E4" s="20">
        <f>AVERAGE('[1]Natural Diamond Data'!N10:N12)</f>
        <v>4596.82</v>
      </c>
      <c r="F4" s="20">
        <f>AVERAGE('[1]Natural Diamond Data'!N13:N15)</f>
        <v>5013.086666666667</v>
      </c>
      <c r="G4" s="20">
        <f>AVERAGE('[1]Natural Diamond Data'!N7:N9)</f>
        <v>2892.126666666667</v>
      </c>
      <c r="H4" s="21">
        <f>AVERAGE('[1]Natural Diamond Data'!N4:N6)</f>
        <v>1746.605</v>
      </c>
      <c r="J4" s="15" t="s">
        <v>26</v>
      </c>
      <c r="K4" s="20">
        <v>2566.8877099911583</v>
      </c>
      <c r="L4" s="20">
        <v>2826.3896594236398</v>
      </c>
      <c r="M4" s="20">
        <v>1992.5302845420622</v>
      </c>
      <c r="N4" s="20">
        <v>1520.2368990289021</v>
      </c>
      <c r="O4" s="20">
        <v>1330.2457629540713</v>
      </c>
      <c r="P4" s="20">
        <v>1387.2222222222219</v>
      </c>
      <c r="Q4" s="21">
        <v>1525.2222222222219</v>
      </c>
    </row>
    <row r="5" spans="1:17">
      <c r="A5" s="15" t="s">
        <v>29</v>
      </c>
      <c r="B5" s="20">
        <f>AVERAGE('[1]Natural Diamond Data'!F47:F49)</f>
        <v>7200.0566666666664</v>
      </c>
      <c r="C5" s="20">
        <f>AVERAGE('[1]Natural Diamond Data'!F44:F46)</f>
        <v>6074.9199999999992</v>
      </c>
      <c r="D5" s="20">
        <f>AVERAGE('[1]Natural Diamond Data'!F41:F43)</f>
        <v>6003.0366666666669</v>
      </c>
      <c r="E5" s="20">
        <f>AVERAGE('[1]Natural Diamond Data'!F35:F37)</f>
        <v>4881.5166666666673</v>
      </c>
      <c r="F5" s="20">
        <f>AVERAGE('[1]Natural Diamond Data'!F38:F40)</f>
        <v>4740.7766666666666</v>
      </c>
      <c r="G5" s="20">
        <f>AVERAGE('[1]Natural Diamond Data'!F32:F34)</f>
        <v>3869.1666666666665</v>
      </c>
      <c r="H5" s="21">
        <f>AVERAGE('[1]Natural Diamond Data'!F29:F31)</f>
        <v>1862.87</v>
      </c>
      <c r="J5" s="15" t="s">
        <v>29</v>
      </c>
      <c r="K5" s="20">
        <v>2267</v>
      </c>
      <c r="L5" s="20">
        <v>2087.9718814972834</v>
      </c>
      <c r="M5" s="20">
        <v>1684.2315515955263</v>
      </c>
      <c r="N5" s="20">
        <v>1384.5366284201234</v>
      </c>
      <c r="O5" s="20">
        <v>1272.7008484553241</v>
      </c>
      <c r="P5" s="20">
        <v>1052.1232913515698</v>
      </c>
      <c r="Q5" s="21">
        <v>1139.8531029573546</v>
      </c>
    </row>
    <row r="6" spans="1:17">
      <c r="A6" s="15" t="s">
        <v>30</v>
      </c>
      <c r="B6" s="20">
        <f>AVERAGE('[1]Natural Diamond Data'!N47:N49)</f>
        <v>6468.5466666666662</v>
      </c>
      <c r="C6" s="20">
        <f>AVERAGE('[1]Natural Diamond Data'!N44:N46)</f>
        <v>4832.376666666667</v>
      </c>
      <c r="D6" s="20">
        <f>AVERAGE('[1]Natural Diamond Data'!N41:N43)</f>
        <v>4882.9800000000005</v>
      </c>
      <c r="E6" s="20">
        <f>AVERAGE('[1]Natural Diamond Data'!N35:N37)</f>
        <v>4765.1366666666663</v>
      </c>
      <c r="F6" s="20">
        <f>AVERAGE('[1]Natural Diamond Data'!N38:N40)</f>
        <v>4459.4066666666668</v>
      </c>
      <c r="G6" s="20">
        <f>AVERAGE('[1]Natural Diamond Data'!N32:N34)</f>
        <v>3067.47</v>
      </c>
      <c r="H6" s="21">
        <f>AVERAGE('[1]Natural Diamond Data'!N29:N31)</f>
        <v>1754.4533333333331</v>
      </c>
      <c r="J6" s="15" t="s">
        <v>30</v>
      </c>
      <c r="K6" s="20">
        <v>2207.8205128205127</v>
      </c>
      <c r="L6" s="20">
        <v>1581.0824534071896</v>
      </c>
      <c r="M6" s="20">
        <v>1697.8568997374307</v>
      </c>
      <c r="N6" s="20">
        <v>1456.8614978621656</v>
      </c>
      <c r="O6" s="20">
        <v>1387.3306822485529</v>
      </c>
      <c r="P6" s="20">
        <v>972.67986798679874</v>
      </c>
      <c r="Q6" s="21">
        <v>1152.1126785244896</v>
      </c>
    </row>
    <row r="7" spans="1:17">
      <c r="A7" s="15" t="s">
        <v>10</v>
      </c>
      <c r="B7" s="20">
        <f>AVERAGE('[1]Natural Diamond Data'!F72:F74)</f>
        <v>5243.3877170325732</v>
      </c>
      <c r="C7" s="20">
        <f>AVERAGE('[1]Natural Diamond Data'!F69:F71)</f>
        <v>7043.0059523809532</v>
      </c>
      <c r="D7" s="20">
        <f>AVERAGE('[1]Natural Diamond Data'!F66:F68)</f>
        <v>6305.0039391611499</v>
      </c>
      <c r="E7" s="20">
        <f>AVERAGE('[1]Natural Diamond Data'!F63:F65)</f>
        <v>5802.9922992299225</v>
      </c>
      <c r="F7" s="20">
        <f>AVERAGE('[1]Natural Diamond Data'!F60:F62)</f>
        <v>5226.3696369636964</v>
      </c>
      <c r="G7" s="20">
        <f>AVERAGE('[1]Natural Diamond Data'!F57:F59)</f>
        <v>3856.6666666666665</v>
      </c>
      <c r="H7" s="21">
        <f>AVERAGE('[1]Natural Diamond Data'!F54:F56)</f>
        <v>3040</v>
      </c>
      <c r="J7" s="15" t="s">
        <v>10</v>
      </c>
      <c r="K7" s="20">
        <v>1258.6666666666667</v>
      </c>
      <c r="L7" s="20">
        <v>1689.6228938683344</v>
      </c>
      <c r="M7" s="20">
        <v>1683.2038469804427</v>
      </c>
      <c r="N7" s="20">
        <v>1460.050107372942</v>
      </c>
      <c r="O7" s="20">
        <v>1392.9698212970354</v>
      </c>
      <c r="P7" s="20">
        <v>1090.9638186040827</v>
      </c>
      <c r="Q7" s="21">
        <v>1038.5595238095236</v>
      </c>
    </row>
    <row r="8" spans="1:17">
      <c r="A8" s="15" t="s">
        <v>12</v>
      </c>
      <c r="B8" s="20">
        <f>AVERAGE('[1]Natural Diamond Data'!N72:N74)</f>
        <v>5168.8362192383629</v>
      </c>
      <c r="C8" s="20">
        <f>AVERAGE('[1]Natural Diamond Data'!N69:N71)</f>
        <v>5003.7926743494018</v>
      </c>
      <c r="D8" s="20">
        <f>AVERAGE('[1]Natural Diamond Data'!N66:N68)</f>
        <v>4141.3841972432538</v>
      </c>
      <c r="E8" s="20">
        <f>AVERAGE('[1]Natural Diamond Data'!N63:N65)</f>
        <v>3183.7689768976902</v>
      </c>
      <c r="F8" s="20">
        <f>AVERAGE('[1]Natural Diamond Data'!N60:N62)</f>
        <v>4358.5907859078588</v>
      </c>
      <c r="G8" s="20">
        <f>AVERAGE('[1]Natural Diamond Data'!N57:N59)</f>
        <v>3750.6666666666665</v>
      </c>
      <c r="H8" s="21">
        <f>AVERAGE('[1]Natural Diamond Data'!N54:N56)</f>
        <v>3306.6666666666665</v>
      </c>
      <c r="J8" s="15" t="s">
        <v>12</v>
      </c>
      <c r="K8" s="20"/>
      <c r="L8" s="20">
        <v>1349.5726495726497</v>
      </c>
      <c r="M8" s="20">
        <v>1238.9655377362403</v>
      </c>
      <c r="N8" s="20">
        <v>1195.5162009707465</v>
      </c>
      <c r="O8" s="20">
        <v>1076.4013267482408</v>
      </c>
      <c r="P8" s="20">
        <v>1123.1322272498744</v>
      </c>
      <c r="Q8" s="21">
        <v>1029.1243831363763</v>
      </c>
    </row>
    <row r="9" spans="1:17">
      <c r="A9" s="15" t="s">
        <v>21</v>
      </c>
      <c r="B9" s="20">
        <f>AVERAGE('[1]Natural Diamond Data'!F97:F99)</f>
        <v>3373.1154063121644</v>
      </c>
      <c r="C9" s="20">
        <f>AVERAGE('[1]Natural Diamond Data'!F94:F96)</f>
        <v>3164.0264026402638</v>
      </c>
      <c r="D9" s="20">
        <f>AVERAGE('[1]Natural Diamond Data'!F91:F93)</f>
        <v>3789.339933993399</v>
      </c>
      <c r="E9" s="20">
        <f>AVERAGE('[1]Natural Diamond Data'!F88:F90)</f>
        <v>3040.5940594059407</v>
      </c>
      <c r="F9" s="20">
        <f>AVERAGE('[1]Natural Diamond Data'!F85:F87)</f>
        <v>3275.7269700332963</v>
      </c>
      <c r="G9" s="20">
        <f>AVERAGE('[1]Natural Diamond Data'!F82:F84)</f>
        <v>3276.002717918851</v>
      </c>
      <c r="H9" s="21">
        <f>AVERAGE('[1]Natural Diamond Data'!F79:F81)</f>
        <v>3025.8861340679523</v>
      </c>
      <c r="J9" s="15" t="s">
        <v>21</v>
      </c>
      <c r="K9" s="20"/>
      <c r="L9" s="20">
        <v>1030.8072778661015</v>
      </c>
      <c r="M9" s="20">
        <v>1379.7805788982259</v>
      </c>
      <c r="N9" s="20">
        <v>1228.260412427079</v>
      </c>
      <c r="O9" s="20">
        <v>936.9281045751635</v>
      </c>
      <c r="P9" s="20">
        <v>889.47194719471952</v>
      </c>
      <c r="Q9" s="21">
        <v>888.34951456310682</v>
      </c>
    </row>
    <row r="10" spans="1:17" ht="15" thickBot="1">
      <c r="A10" s="19" t="s">
        <v>22</v>
      </c>
      <c r="B10" s="22">
        <f>AVERAGE('[1]Natural Diamond Data'!N97:N99)</f>
        <v>2626.7843137254899</v>
      </c>
      <c r="C10" s="22">
        <f>AVERAGE('[1]Natural Diamond Data'!N94:N96)</f>
        <v>2456.5165016501651</v>
      </c>
      <c r="D10" s="22">
        <f>AVERAGE('[1]Natural Diamond Data'!N91:N93)</f>
        <v>2112.9198213939039</v>
      </c>
      <c r="E10" s="22">
        <f>AVERAGE('[1]Natural Diamond Data'!N88:N90)</f>
        <v>1866.8118811881188</v>
      </c>
      <c r="F10" s="22">
        <f>AVERAGE('[1]Natural Diamond Data'!N85:N87)</f>
        <v>1881.6946260663801</v>
      </c>
      <c r="G10" s="22">
        <f>AVERAGE('[1]Natural Diamond Data'!N82:N84)</f>
        <v>1985.8679547566408</v>
      </c>
      <c r="H10" s="23">
        <f>AVERAGE('[1]Natural Diamond Data'!N79:N81)</f>
        <v>1539.6327982312794</v>
      </c>
      <c r="J10" s="19" t="s">
        <v>22</v>
      </c>
      <c r="K10" s="22"/>
      <c r="L10" s="22"/>
      <c r="M10" s="22">
        <v>484.0515151515151</v>
      </c>
      <c r="N10" s="22"/>
      <c r="O10" s="22">
        <v>401.93827160493828</v>
      </c>
      <c r="P10" s="22">
        <v>339.60396039603961</v>
      </c>
      <c r="Q10" s="23"/>
    </row>
    <row r="12" spans="1:17" ht="15" thickBot="1"/>
    <row r="13" spans="1:17">
      <c r="A13" s="161" t="s">
        <v>103</v>
      </c>
      <c r="B13" s="162"/>
      <c r="C13" s="162"/>
      <c r="D13" s="162"/>
      <c r="E13" s="162"/>
      <c r="F13" s="162"/>
      <c r="G13" s="162"/>
      <c r="H13" s="163"/>
      <c r="J13" s="164"/>
      <c r="K13" s="164"/>
      <c r="L13" s="164"/>
      <c r="M13" s="164"/>
      <c r="N13" s="164"/>
      <c r="O13" s="164"/>
      <c r="P13" s="164"/>
      <c r="Q13" s="164"/>
    </row>
    <row r="14" spans="1:17">
      <c r="A14" s="15" t="s">
        <v>32</v>
      </c>
      <c r="B14" s="16" t="s">
        <v>18</v>
      </c>
      <c r="C14" s="17" t="s">
        <v>17</v>
      </c>
      <c r="D14" s="17" t="s">
        <v>16</v>
      </c>
      <c r="E14" s="17" t="s">
        <v>15</v>
      </c>
      <c r="F14" s="17" t="s">
        <v>14</v>
      </c>
      <c r="G14" s="17" t="s">
        <v>13</v>
      </c>
      <c r="H14" s="18" t="s">
        <v>11</v>
      </c>
      <c r="J14" s="3"/>
      <c r="K14" s="3"/>
      <c r="L14" s="3"/>
      <c r="M14" s="3"/>
      <c r="N14" s="3"/>
      <c r="O14" s="3"/>
      <c r="P14" s="3"/>
      <c r="Q14" s="3"/>
    </row>
    <row r="15" spans="1:17">
      <c r="A15" s="15" t="s">
        <v>25</v>
      </c>
      <c r="B15" s="76">
        <f t="shared" ref="B15:H22" si="0">K3/B3</f>
        <v>0.53173533888341629</v>
      </c>
      <c r="C15" s="76">
        <f t="shared" si="0"/>
        <v>0.38021858840424838</v>
      </c>
      <c r="D15" s="76">
        <f t="shared" si="0"/>
        <v>0.36452916927319734</v>
      </c>
      <c r="E15" s="76">
        <f t="shared" si="0"/>
        <v>0.3658736956059484</v>
      </c>
      <c r="F15" s="76">
        <f t="shared" si="0"/>
        <v>0.2706928268059472</v>
      </c>
      <c r="G15" s="76">
        <f t="shared" si="0"/>
        <v>0.38098276441781115</v>
      </c>
      <c r="H15" s="77">
        <f t="shared" si="0"/>
        <v>0.45723990825400174</v>
      </c>
      <c r="J15" s="84"/>
      <c r="K15" s="76"/>
      <c r="L15" s="76"/>
      <c r="M15" s="76"/>
      <c r="N15" s="76"/>
      <c r="O15" s="76"/>
      <c r="P15" s="76"/>
      <c r="Q15" s="83"/>
    </row>
    <row r="16" spans="1:17">
      <c r="A16" s="15" t="s">
        <v>26</v>
      </c>
      <c r="B16" s="76">
        <f t="shared" si="0"/>
        <v>0.40464742900092088</v>
      </c>
      <c r="C16" s="76">
        <f t="shared" si="0"/>
        <v>0.43739748669216272</v>
      </c>
      <c r="D16" s="76">
        <f t="shared" si="0"/>
        <v>0.33811413822372077</v>
      </c>
      <c r="E16" s="76">
        <f t="shared" si="0"/>
        <v>0.33071490705072248</v>
      </c>
      <c r="F16" s="76">
        <f t="shared" si="0"/>
        <v>0.26535463106976098</v>
      </c>
      <c r="G16" s="76">
        <f t="shared" si="0"/>
        <v>0.47965472543464732</v>
      </c>
      <c r="H16" s="77">
        <f t="shared" si="0"/>
        <v>0.87324965989575309</v>
      </c>
      <c r="J16" s="84"/>
      <c r="K16" s="76"/>
      <c r="L16" s="76"/>
      <c r="M16" s="76"/>
      <c r="N16" s="76"/>
      <c r="O16" s="76"/>
      <c r="P16" s="76"/>
      <c r="Q16" s="83"/>
    </row>
    <row r="17" spans="1:17">
      <c r="A17" s="15" t="s">
        <v>29</v>
      </c>
      <c r="B17" s="76">
        <f t="shared" si="0"/>
        <v>0.31485863305705464</v>
      </c>
      <c r="C17" s="76">
        <f t="shared" si="0"/>
        <v>0.34370360128154509</v>
      </c>
      <c r="D17" s="76">
        <f t="shared" si="0"/>
        <v>0.28056326241477669</v>
      </c>
      <c r="E17" s="76">
        <f t="shared" si="0"/>
        <v>0.28362837268884122</v>
      </c>
      <c r="F17" s="76">
        <f t="shared" si="0"/>
        <v>0.26845830081048411</v>
      </c>
      <c r="G17" s="76">
        <f t="shared" si="0"/>
        <v>0.2719250376097101</v>
      </c>
      <c r="H17" s="77">
        <f t="shared" si="0"/>
        <v>0.6118801113106952</v>
      </c>
      <c r="J17" s="84"/>
      <c r="K17" s="76"/>
      <c r="L17" s="76"/>
      <c r="M17" s="76"/>
      <c r="N17" s="76"/>
      <c r="O17" s="76"/>
      <c r="P17" s="76"/>
      <c r="Q17" s="83"/>
    </row>
    <row r="18" spans="1:17">
      <c r="A18" s="15" t="s">
        <v>30</v>
      </c>
      <c r="B18" s="76">
        <f t="shared" si="0"/>
        <v>0.34131631517752253</v>
      </c>
      <c r="C18" s="76">
        <f t="shared" si="0"/>
        <v>0.32718526771999484</v>
      </c>
      <c r="D18" s="76">
        <f t="shared" si="0"/>
        <v>0.34770916525102102</v>
      </c>
      <c r="E18" s="76">
        <f t="shared" si="0"/>
        <v>0.30573341328345932</v>
      </c>
      <c r="F18" s="76">
        <f t="shared" si="0"/>
        <v>0.3111020783591284</v>
      </c>
      <c r="G18" s="76">
        <f t="shared" si="0"/>
        <v>0.31709515267852623</v>
      </c>
      <c r="H18" s="77">
        <f t="shared" si="0"/>
        <v>0.65667901028496423</v>
      </c>
      <c r="J18" s="84"/>
      <c r="K18" s="76"/>
      <c r="L18" s="76"/>
      <c r="M18" s="76"/>
      <c r="N18" s="76"/>
      <c r="O18" s="76"/>
      <c r="P18" s="76"/>
      <c r="Q18" s="83"/>
    </row>
    <row r="19" spans="1:17">
      <c r="A19" s="15" t="s">
        <v>10</v>
      </c>
      <c r="B19" s="76">
        <f t="shared" si="0"/>
        <v>0.24004836845805344</v>
      </c>
      <c r="C19" s="76">
        <f t="shared" si="0"/>
        <v>0.23990081866921351</v>
      </c>
      <c r="D19" s="76">
        <f t="shared" si="0"/>
        <v>0.26696317135122755</v>
      </c>
      <c r="E19" s="76">
        <f t="shared" si="0"/>
        <v>0.25160297172317386</v>
      </c>
      <c r="F19" s="76">
        <f t="shared" si="0"/>
        <v>0.26652722980885313</v>
      </c>
      <c r="G19" s="76">
        <f t="shared" si="0"/>
        <v>0.28287739462508626</v>
      </c>
      <c r="H19" s="77">
        <f t="shared" si="0"/>
        <v>0.34163142230576438</v>
      </c>
      <c r="J19" s="84"/>
      <c r="K19" s="76"/>
      <c r="L19" s="76"/>
      <c r="M19" s="76"/>
      <c r="N19" s="76"/>
      <c r="O19" s="76"/>
      <c r="P19" s="76"/>
      <c r="Q19" s="83"/>
    </row>
    <row r="20" spans="1:17">
      <c r="A20" s="15" t="s">
        <v>12</v>
      </c>
      <c r="B20" s="76">
        <f t="shared" si="0"/>
        <v>0</v>
      </c>
      <c r="C20" s="76">
        <f t="shared" si="0"/>
        <v>0.26970994551610245</v>
      </c>
      <c r="D20" s="76">
        <f t="shared" si="0"/>
        <v>0.29916701245949795</v>
      </c>
      <c r="E20" s="76">
        <f t="shared" si="0"/>
        <v>0.37550343936565223</v>
      </c>
      <c r="F20" s="76">
        <f t="shared" si="0"/>
        <v>0.2469608595118514</v>
      </c>
      <c r="G20" s="76">
        <f t="shared" si="0"/>
        <v>0.299448691943621</v>
      </c>
      <c r="H20" s="77">
        <f t="shared" si="0"/>
        <v>0.31122713199688801</v>
      </c>
      <c r="J20" s="84"/>
      <c r="K20" s="76"/>
      <c r="L20" s="76"/>
      <c r="M20" s="76"/>
      <c r="N20" s="76"/>
      <c r="O20" s="76"/>
      <c r="P20" s="76"/>
      <c r="Q20" s="83"/>
    </row>
    <row r="21" spans="1:17">
      <c r="A21" s="15" t="s">
        <v>21</v>
      </c>
      <c r="B21" s="76">
        <f t="shared" si="0"/>
        <v>0</v>
      </c>
      <c r="C21" s="76">
        <f t="shared" si="0"/>
        <v>0.32578972065654405</v>
      </c>
      <c r="D21" s="76">
        <f t="shared" si="0"/>
        <v>0.36412161561977974</v>
      </c>
      <c r="E21" s="76">
        <f t="shared" si="0"/>
        <v>0.40395409200630078</v>
      </c>
      <c r="F21" s="76">
        <f t="shared" si="0"/>
        <v>0.28602142765446659</v>
      </c>
      <c r="G21" s="76">
        <f t="shared" si="0"/>
        <v>0.27151135813457905</v>
      </c>
      <c r="H21" s="77">
        <f t="shared" si="0"/>
        <v>0.29358325964791815</v>
      </c>
      <c r="J21" s="84"/>
      <c r="K21" s="76"/>
      <c r="L21" s="76"/>
      <c r="M21" s="76"/>
      <c r="N21" s="76"/>
      <c r="O21" s="76"/>
      <c r="P21" s="76"/>
      <c r="Q21" s="83"/>
    </row>
    <row r="22" spans="1:17" ht="15" thickBot="1">
      <c r="A22" s="19" t="s">
        <v>22</v>
      </c>
      <c r="B22" s="78">
        <f t="shared" si="0"/>
        <v>0</v>
      </c>
      <c r="C22" s="78">
        <f t="shared" si="0"/>
        <v>0</v>
      </c>
      <c r="D22" s="78">
        <f t="shared" si="0"/>
        <v>0.22909128413220331</v>
      </c>
      <c r="E22" s="78">
        <f t="shared" si="0"/>
        <v>0</v>
      </c>
      <c r="F22" s="78">
        <f t="shared" si="0"/>
        <v>0.21360441063977359</v>
      </c>
      <c r="G22" s="78">
        <f t="shared" si="0"/>
        <v>0.17101034315126787</v>
      </c>
      <c r="H22" s="79">
        <f t="shared" si="0"/>
        <v>0</v>
      </c>
      <c r="J22" s="84"/>
      <c r="K22" s="76"/>
      <c r="L22" s="76"/>
      <c r="M22" s="76"/>
      <c r="N22" s="76"/>
      <c r="O22" s="76"/>
      <c r="P22" s="76"/>
      <c r="Q22" s="83"/>
    </row>
    <row r="25" spans="1:17" ht="15" thickBot="1"/>
    <row r="26" spans="1:17">
      <c r="A26" s="161" t="s">
        <v>102</v>
      </c>
      <c r="B26" s="162"/>
      <c r="C26" s="162"/>
      <c r="D26" s="162"/>
      <c r="E26" s="162"/>
      <c r="F26" s="162"/>
      <c r="G26" s="162"/>
      <c r="H26" s="163"/>
      <c r="J26" s="161" t="s">
        <v>127</v>
      </c>
      <c r="K26" s="162"/>
      <c r="L26" s="162"/>
      <c r="M26" s="162"/>
      <c r="N26" s="162"/>
      <c r="O26" s="162"/>
      <c r="P26" s="162"/>
      <c r="Q26" s="163"/>
    </row>
    <row r="27" spans="1:17">
      <c r="A27" s="15" t="s">
        <v>32</v>
      </c>
      <c r="B27" s="16" t="s">
        <v>18</v>
      </c>
      <c r="C27" s="17" t="s">
        <v>17</v>
      </c>
      <c r="D27" s="17" t="s">
        <v>16</v>
      </c>
      <c r="E27" s="17" t="s">
        <v>15</v>
      </c>
      <c r="F27" s="17" t="s">
        <v>14</v>
      </c>
      <c r="G27" s="17" t="s">
        <v>13</v>
      </c>
      <c r="H27" s="18" t="s">
        <v>11</v>
      </c>
      <c r="J27" s="15" t="s">
        <v>32</v>
      </c>
      <c r="K27" s="16" t="s">
        <v>18</v>
      </c>
      <c r="L27" s="17" t="s">
        <v>17</v>
      </c>
      <c r="M27" s="17" t="s">
        <v>16</v>
      </c>
      <c r="N27" s="17" t="s">
        <v>15</v>
      </c>
      <c r="O27" s="17" t="s">
        <v>14</v>
      </c>
      <c r="P27" s="17" t="s">
        <v>13</v>
      </c>
      <c r="Q27" s="18" t="s">
        <v>11</v>
      </c>
    </row>
    <row r="28" spans="1:17">
      <c r="A28" s="15" t="s">
        <v>25</v>
      </c>
      <c r="B28" s="36">
        <v>12500</v>
      </c>
      <c r="C28" s="36">
        <v>10400</v>
      </c>
      <c r="D28" s="36">
        <v>9400</v>
      </c>
      <c r="E28" s="36">
        <v>8500</v>
      </c>
      <c r="F28" s="36">
        <v>7500</v>
      </c>
      <c r="G28" s="36">
        <v>6300</v>
      </c>
      <c r="H28" s="80">
        <v>5200</v>
      </c>
      <c r="J28" s="15" t="s">
        <v>25</v>
      </c>
      <c r="K28" s="76">
        <f t="shared" ref="K28:Q35" si="1">B3/B28</f>
        <v>0.58035519999999996</v>
      </c>
      <c r="L28" s="76">
        <f t="shared" si="1"/>
        <v>0.61121891025641018</v>
      </c>
      <c r="M28" s="76">
        <f t="shared" si="1"/>
        <v>0.65557659574468075</v>
      </c>
      <c r="N28" s="76">
        <f t="shared" si="1"/>
        <v>0.61791098039215686</v>
      </c>
      <c r="O28" s="76">
        <f t="shared" si="1"/>
        <v>0.8686395555555555</v>
      </c>
      <c r="P28" s="76">
        <f t="shared" si="1"/>
        <v>0.57082592592592596</v>
      </c>
      <c r="Q28" s="77">
        <f t="shared" si="1"/>
        <v>0.4772974358974359</v>
      </c>
    </row>
    <row r="29" spans="1:17">
      <c r="A29" s="15" t="s">
        <v>26</v>
      </c>
      <c r="B29" s="36">
        <v>10400</v>
      </c>
      <c r="C29" s="36">
        <v>9400</v>
      </c>
      <c r="D29" s="36">
        <v>8700</v>
      </c>
      <c r="E29" s="36">
        <v>8000</v>
      </c>
      <c r="F29" s="36">
        <v>7200</v>
      </c>
      <c r="G29" s="36">
        <v>6000</v>
      </c>
      <c r="H29" s="80">
        <v>5000</v>
      </c>
      <c r="J29" s="15" t="s">
        <v>26</v>
      </c>
      <c r="K29" s="76">
        <f t="shared" si="1"/>
        <v>0.60995352564102556</v>
      </c>
      <c r="L29" s="76">
        <f t="shared" si="1"/>
        <v>0.6874290780141844</v>
      </c>
      <c r="M29" s="76">
        <f t="shared" si="1"/>
        <v>0.67736436781609188</v>
      </c>
      <c r="N29" s="76">
        <f t="shared" si="1"/>
        <v>0.57460250000000002</v>
      </c>
      <c r="O29" s="76">
        <f t="shared" si="1"/>
        <v>0.69626203703703704</v>
      </c>
      <c r="P29" s="76">
        <f t="shared" si="1"/>
        <v>0.48202111111111118</v>
      </c>
      <c r="Q29" s="77">
        <f t="shared" si="1"/>
        <v>0.34932099999999999</v>
      </c>
    </row>
    <row r="30" spans="1:17">
      <c r="A30" s="15" t="s">
        <v>29</v>
      </c>
      <c r="B30" s="36">
        <v>9400</v>
      </c>
      <c r="C30" s="36">
        <v>8500</v>
      </c>
      <c r="D30" s="36">
        <v>8000</v>
      </c>
      <c r="E30" s="36">
        <v>7500</v>
      </c>
      <c r="F30" s="36">
        <v>6900</v>
      </c>
      <c r="G30" s="36">
        <v>5700</v>
      </c>
      <c r="H30" s="80">
        <v>4800</v>
      </c>
      <c r="J30" s="15" t="s">
        <v>29</v>
      </c>
      <c r="K30" s="76">
        <f t="shared" si="1"/>
        <v>0.7659634751773049</v>
      </c>
      <c r="L30" s="76">
        <f t="shared" si="1"/>
        <v>0.71469647058823516</v>
      </c>
      <c r="M30" s="76">
        <f t="shared" si="1"/>
        <v>0.75037958333333332</v>
      </c>
      <c r="N30" s="76">
        <f t="shared" si="1"/>
        <v>0.65086888888888894</v>
      </c>
      <c r="O30" s="76">
        <f t="shared" si="1"/>
        <v>0.68706908212560391</v>
      </c>
      <c r="P30" s="76">
        <f t="shared" si="1"/>
        <v>0.67880116959064329</v>
      </c>
      <c r="Q30" s="77">
        <f t="shared" si="1"/>
        <v>0.38809791666666665</v>
      </c>
    </row>
    <row r="31" spans="1:17">
      <c r="A31" s="15" t="s">
        <v>30</v>
      </c>
      <c r="B31" s="36">
        <v>8100</v>
      </c>
      <c r="C31" s="36">
        <v>7700</v>
      </c>
      <c r="D31" s="36">
        <v>7300</v>
      </c>
      <c r="E31" s="36">
        <v>7000</v>
      </c>
      <c r="F31" s="36">
        <v>6600</v>
      </c>
      <c r="G31" s="36">
        <v>5400</v>
      </c>
      <c r="H31" s="80">
        <v>4600</v>
      </c>
      <c r="J31" s="15" t="s">
        <v>30</v>
      </c>
      <c r="K31" s="76">
        <f t="shared" si="1"/>
        <v>0.79858600823045256</v>
      </c>
      <c r="L31" s="76">
        <f t="shared" si="1"/>
        <v>0.6275813852813853</v>
      </c>
      <c r="M31" s="76">
        <f t="shared" si="1"/>
        <v>0.66890136986301374</v>
      </c>
      <c r="N31" s="76">
        <f t="shared" si="1"/>
        <v>0.68073380952380946</v>
      </c>
      <c r="O31" s="76">
        <f t="shared" si="1"/>
        <v>0.67566767676767681</v>
      </c>
      <c r="P31" s="76">
        <f t="shared" si="1"/>
        <v>0.56804999999999994</v>
      </c>
      <c r="Q31" s="77">
        <f t="shared" si="1"/>
        <v>0.38140289855072462</v>
      </c>
    </row>
    <row r="32" spans="1:17">
      <c r="A32" s="15" t="s">
        <v>10</v>
      </c>
      <c r="B32" s="36">
        <v>6900</v>
      </c>
      <c r="C32" s="36">
        <v>6600</v>
      </c>
      <c r="D32" s="36">
        <v>6300</v>
      </c>
      <c r="E32" s="36">
        <v>6000</v>
      </c>
      <c r="F32" s="36">
        <v>5700</v>
      </c>
      <c r="G32" s="36">
        <v>5000</v>
      </c>
      <c r="H32" s="80">
        <v>4300</v>
      </c>
      <c r="J32" s="15" t="s">
        <v>10</v>
      </c>
      <c r="K32" s="76">
        <f t="shared" si="1"/>
        <v>0.75991126333805403</v>
      </c>
      <c r="L32" s="76">
        <f t="shared" si="1"/>
        <v>1.0671221139971141</v>
      </c>
      <c r="M32" s="76">
        <f t="shared" si="1"/>
        <v>1.0007942760573254</v>
      </c>
      <c r="N32" s="76">
        <f t="shared" si="1"/>
        <v>0.96716538320498713</v>
      </c>
      <c r="O32" s="76">
        <f t="shared" si="1"/>
        <v>0.91690695385328003</v>
      </c>
      <c r="P32" s="76">
        <f t="shared" si="1"/>
        <v>0.77133333333333332</v>
      </c>
      <c r="Q32" s="77">
        <f t="shared" si="1"/>
        <v>0.7069767441860465</v>
      </c>
    </row>
    <row r="33" spans="1:17">
      <c r="A33" s="15" t="s">
        <v>12</v>
      </c>
      <c r="B33" s="36">
        <v>5900</v>
      </c>
      <c r="C33" s="36">
        <v>5600</v>
      </c>
      <c r="D33" s="36">
        <v>5400</v>
      </c>
      <c r="E33" s="36">
        <v>5200</v>
      </c>
      <c r="F33" s="36">
        <v>4900</v>
      </c>
      <c r="G33" s="36">
        <v>4400</v>
      </c>
      <c r="H33" s="80">
        <v>3900</v>
      </c>
      <c r="J33" s="15" t="s">
        <v>12</v>
      </c>
      <c r="K33" s="76">
        <f t="shared" si="1"/>
        <v>0.87607393546412926</v>
      </c>
      <c r="L33" s="76">
        <f t="shared" si="1"/>
        <v>0.89353440613382173</v>
      </c>
      <c r="M33" s="76">
        <f t="shared" si="1"/>
        <v>0.76692299948949139</v>
      </c>
      <c r="N33" s="76">
        <f t="shared" si="1"/>
        <v>0.6122632647880174</v>
      </c>
      <c r="O33" s="76">
        <f t="shared" si="1"/>
        <v>0.88950832365466503</v>
      </c>
      <c r="P33" s="76">
        <f t="shared" si="1"/>
        <v>0.85242424242424242</v>
      </c>
      <c r="Q33" s="77">
        <f t="shared" si="1"/>
        <v>0.84786324786324785</v>
      </c>
    </row>
    <row r="34" spans="1:17">
      <c r="A34" s="15" t="s">
        <v>21</v>
      </c>
      <c r="B34" s="36">
        <v>4800</v>
      </c>
      <c r="C34" s="36">
        <v>4600</v>
      </c>
      <c r="D34" s="36">
        <v>4400</v>
      </c>
      <c r="E34" s="36">
        <v>4200</v>
      </c>
      <c r="F34" s="36">
        <v>4000</v>
      </c>
      <c r="G34" s="36">
        <v>3600</v>
      </c>
      <c r="H34" s="80">
        <v>3200</v>
      </c>
      <c r="J34" s="15" t="s">
        <v>21</v>
      </c>
      <c r="K34" s="76">
        <f t="shared" si="1"/>
        <v>0.70273237631503427</v>
      </c>
      <c r="L34" s="76">
        <f t="shared" si="1"/>
        <v>0.6878318266609269</v>
      </c>
      <c r="M34" s="76">
        <f t="shared" si="1"/>
        <v>0.86121362136213608</v>
      </c>
      <c r="N34" s="76">
        <f t="shared" si="1"/>
        <v>0.72395096652522395</v>
      </c>
      <c r="O34" s="76">
        <f t="shared" si="1"/>
        <v>0.81893174250832412</v>
      </c>
      <c r="P34" s="76">
        <f t="shared" si="1"/>
        <v>0.91000075497745858</v>
      </c>
      <c r="Q34" s="77">
        <f t="shared" si="1"/>
        <v>0.9455894168962351</v>
      </c>
    </row>
    <row r="35" spans="1:17" ht="15" thickBot="1">
      <c r="A35" s="19" t="s">
        <v>22</v>
      </c>
      <c r="B35" s="81">
        <v>3900</v>
      </c>
      <c r="C35" s="81">
        <v>3700</v>
      </c>
      <c r="D35" s="81">
        <v>3500</v>
      </c>
      <c r="E35" s="81">
        <v>3300</v>
      </c>
      <c r="F35" s="81">
        <v>3200</v>
      </c>
      <c r="G35" s="81">
        <v>2900</v>
      </c>
      <c r="H35" s="82">
        <v>2700</v>
      </c>
      <c r="J35" s="19" t="s">
        <v>22</v>
      </c>
      <c r="K35" s="78">
        <f t="shared" si="1"/>
        <v>0.67353443941679225</v>
      </c>
      <c r="L35" s="78">
        <f t="shared" si="1"/>
        <v>0.66392337882436891</v>
      </c>
      <c r="M35" s="78">
        <f t="shared" si="1"/>
        <v>0.60369137754111546</v>
      </c>
      <c r="N35" s="78">
        <f t="shared" si="1"/>
        <v>0.56570057005700569</v>
      </c>
      <c r="O35" s="78">
        <f t="shared" si="1"/>
        <v>0.58802957064574379</v>
      </c>
      <c r="P35" s="78">
        <f t="shared" si="1"/>
        <v>0.68478205336435893</v>
      </c>
      <c r="Q35" s="79">
        <f t="shared" si="1"/>
        <v>0.57023436971528862</v>
      </c>
    </row>
  </sheetData>
  <mergeCells count="6">
    <mergeCell ref="A1:H1"/>
    <mergeCell ref="J1:Q1"/>
    <mergeCell ref="A26:H26"/>
    <mergeCell ref="A13:H13"/>
    <mergeCell ref="J26:Q26"/>
    <mergeCell ref="J13:Q13"/>
  </mergeCells>
  <conditionalFormatting sqref="J28:J35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13:H22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J26:Q27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15:H22">
    <cfRule type="colorScale" priority="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28:Q35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J13:Q2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5:Q22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ignoredErrors>
    <ignoredError sqref="G4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56819-62E9-424E-930B-A53D97A32043}">
  <dimension ref="A1:H31"/>
  <sheetViews>
    <sheetView topLeftCell="A7" zoomScale="90" zoomScaleNormal="90" workbookViewId="0">
      <selection activeCell="B24" sqref="B24:H31"/>
    </sheetView>
  </sheetViews>
  <sheetFormatPr defaultColWidth="11.5546875" defaultRowHeight="14.4"/>
  <cols>
    <col min="1" max="1" width="3.88671875" customWidth="1"/>
  </cols>
  <sheetData>
    <row r="1" spans="1:8" ht="16.8">
      <c r="A1" s="85" t="s">
        <v>105</v>
      </c>
    </row>
    <row r="4" spans="1:8" ht="16.8">
      <c r="A4" s="85" t="s">
        <v>95</v>
      </c>
    </row>
    <row r="5" spans="1:8">
      <c r="A5" t="s">
        <v>96</v>
      </c>
    </row>
    <row r="9" spans="1:8" ht="15" thickBot="1"/>
    <row r="10" spans="1:8">
      <c r="A10" s="165" t="s">
        <v>31</v>
      </c>
      <c r="B10" s="166"/>
      <c r="C10" s="166"/>
      <c r="D10" s="166"/>
      <c r="E10" s="166"/>
      <c r="F10" s="166"/>
      <c r="G10" s="166"/>
      <c r="H10" s="167"/>
    </row>
    <row r="11" spans="1:8">
      <c r="A11" s="49" t="s">
        <v>32</v>
      </c>
      <c r="B11" s="50">
        <v>1</v>
      </c>
      <c r="C11" s="50">
        <v>2</v>
      </c>
      <c r="D11" s="50">
        <v>3</v>
      </c>
      <c r="E11" s="50">
        <v>4</v>
      </c>
      <c r="F11" s="50">
        <v>5</v>
      </c>
      <c r="G11" s="50">
        <v>6</v>
      </c>
      <c r="H11" s="51">
        <v>7</v>
      </c>
    </row>
    <row r="12" spans="1:8">
      <c r="A12" s="49">
        <v>1</v>
      </c>
      <c r="B12" s="142">
        <v>7254.44</v>
      </c>
      <c r="C12" s="142">
        <v>6356.6766666666663</v>
      </c>
      <c r="D12" s="142">
        <v>6162.4199999999992</v>
      </c>
      <c r="E12" s="142">
        <v>5252.2433333333329</v>
      </c>
      <c r="F12" s="142">
        <v>6514.7966666666662</v>
      </c>
      <c r="G12" s="142">
        <v>3596.2033333333334</v>
      </c>
      <c r="H12" s="143">
        <v>2481.9466666666667</v>
      </c>
    </row>
    <row r="13" spans="1:8">
      <c r="A13" s="49">
        <v>2</v>
      </c>
      <c r="B13" s="142">
        <v>6343.5166666666664</v>
      </c>
      <c r="C13" s="142">
        <v>6461.833333333333</v>
      </c>
      <c r="D13" s="142">
        <v>5893.07</v>
      </c>
      <c r="E13" s="142">
        <v>4596.82</v>
      </c>
      <c r="F13" s="142">
        <v>5013.086666666667</v>
      </c>
      <c r="G13" s="142">
        <v>2892.126666666667</v>
      </c>
      <c r="H13" s="143">
        <v>1746.605</v>
      </c>
    </row>
    <row r="14" spans="1:8">
      <c r="A14" s="49">
        <v>3</v>
      </c>
      <c r="B14" s="142">
        <v>7200.0566666666664</v>
      </c>
      <c r="C14" s="142">
        <v>6074.9199999999992</v>
      </c>
      <c r="D14" s="142">
        <v>6003.0366666666669</v>
      </c>
      <c r="E14" s="142">
        <v>4881.5166666666673</v>
      </c>
      <c r="F14" s="142">
        <v>4740.7766666666666</v>
      </c>
      <c r="G14" s="142">
        <v>3869.1666666666665</v>
      </c>
      <c r="H14" s="143">
        <v>1862.87</v>
      </c>
    </row>
    <row r="15" spans="1:8">
      <c r="A15" s="49">
        <v>4</v>
      </c>
      <c r="B15" s="142">
        <v>6468.5466666666662</v>
      </c>
      <c r="C15" s="142">
        <v>4832.376666666667</v>
      </c>
      <c r="D15" s="142">
        <v>4882.9800000000005</v>
      </c>
      <c r="E15" s="142">
        <v>4765.1366666666663</v>
      </c>
      <c r="F15" s="142">
        <v>4459.4066666666668</v>
      </c>
      <c r="G15" s="142">
        <v>3067.47</v>
      </c>
      <c r="H15" s="143">
        <v>1754.4533333333331</v>
      </c>
    </row>
    <row r="16" spans="1:8">
      <c r="A16" s="49">
        <v>5</v>
      </c>
      <c r="B16" s="142">
        <v>5243.3877170325732</v>
      </c>
      <c r="C16" s="142">
        <v>7043.0059523809532</v>
      </c>
      <c r="D16" s="142">
        <v>6305.0039391611499</v>
      </c>
      <c r="E16" s="142">
        <v>5802.9922992299225</v>
      </c>
      <c r="F16" s="142">
        <v>5226.3696369636964</v>
      </c>
      <c r="G16" s="142">
        <v>3856.6666666666665</v>
      </c>
      <c r="H16" s="143">
        <v>3040</v>
      </c>
    </row>
    <row r="17" spans="1:8">
      <c r="A17" s="49">
        <v>6</v>
      </c>
      <c r="B17" s="142">
        <v>5168.8362192383629</v>
      </c>
      <c r="C17" s="142">
        <v>5003.7926743494018</v>
      </c>
      <c r="D17" s="142">
        <v>4141.3841972432538</v>
      </c>
      <c r="E17" s="142">
        <v>3183.7689768976902</v>
      </c>
      <c r="F17" s="142">
        <v>4358.5907859078588</v>
      </c>
      <c r="G17" s="142">
        <v>3750.6666666666665</v>
      </c>
      <c r="H17" s="143">
        <v>3306.6666666666665</v>
      </c>
    </row>
    <row r="18" spans="1:8">
      <c r="A18" s="49">
        <v>7</v>
      </c>
      <c r="B18" s="142">
        <v>3373.1154063121644</v>
      </c>
      <c r="C18" s="142">
        <v>3164.0264026402638</v>
      </c>
      <c r="D18" s="142">
        <v>3789.339933993399</v>
      </c>
      <c r="E18" s="142">
        <v>3040.5940594059407</v>
      </c>
      <c r="F18" s="142">
        <v>3275.7269700332963</v>
      </c>
      <c r="G18" s="142">
        <v>3276.002717918851</v>
      </c>
      <c r="H18" s="143">
        <v>3025.8861340679523</v>
      </c>
    </row>
    <row r="19" spans="1:8" ht="15" thickBot="1">
      <c r="A19" s="52">
        <v>8</v>
      </c>
      <c r="B19" s="144">
        <v>2626.7843137254899</v>
      </c>
      <c r="C19" s="144">
        <v>2456.5165016501651</v>
      </c>
      <c r="D19" s="144">
        <v>2112.9198213939039</v>
      </c>
      <c r="E19" s="144">
        <v>1866.8118811881188</v>
      </c>
      <c r="F19" s="144">
        <v>1881.6946260663801</v>
      </c>
      <c r="G19" s="144">
        <v>1985.8679547566408</v>
      </c>
      <c r="H19" s="145">
        <v>1539.6327982312794</v>
      </c>
    </row>
    <row r="21" spans="1:8" ht="15" thickBot="1"/>
    <row r="22" spans="1:8">
      <c r="A22" s="165" t="s">
        <v>70</v>
      </c>
      <c r="B22" s="166"/>
      <c r="C22" s="166"/>
      <c r="D22" s="166"/>
      <c r="E22" s="166"/>
      <c r="F22" s="166"/>
      <c r="G22" s="166"/>
      <c r="H22" s="167"/>
    </row>
    <row r="23" spans="1:8">
      <c r="A23" s="49" t="s">
        <v>32</v>
      </c>
      <c r="B23" s="50">
        <v>1</v>
      </c>
      <c r="C23" s="50">
        <v>2</v>
      </c>
      <c r="D23" s="50">
        <v>3</v>
      </c>
      <c r="E23" s="50">
        <v>4</v>
      </c>
      <c r="F23" s="50">
        <v>5</v>
      </c>
      <c r="G23" s="50">
        <v>6</v>
      </c>
      <c r="H23" s="51">
        <v>7</v>
      </c>
    </row>
    <row r="24" spans="1:8">
      <c r="A24" s="49">
        <v>1</v>
      </c>
      <c r="B24" s="142">
        <v>3857.4421118094106</v>
      </c>
      <c r="C24" s="142">
        <v>2416.9266291422227</v>
      </c>
      <c r="D24" s="142">
        <v>2246.3818433125366</v>
      </c>
      <c r="E24" s="142">
        <v>1921.6576785883717</v>
      </c>
      <c r="F24" s="142">
        <v>1763.5087257659618</v>
      </c>
      <c r="G24" s="142">
        <v>1370.0914873418806</v>
      </c>
      <c r="H24" s="143">
        <v>1134.8450661579921</v>
      </c>
    </row>
    <row r="25" spans="1:8">
      <c r="A25" s="49">
        <v>2</v>
      </c>
      <c r="B25" s="142">
        <v>2566.8877099911583</v>
      </c>
      <c r="C25" s="142">
        <v>2826.3896594236398</v>
      </c>
      <c r="D25" s="142">
        <v>1992.5302845420622</v>
      </c>
      <c r="E25" s="142">
        <v>1520.2368990289021</v>
      </c>
      <c r="F25" s="142">
        <v>1330.2457629540713</v>
      </c>
      <c r="G25" s="142">
        <v>1387.2222222222219</v>
      </c>
      <c r="H25" s="143">
        <v>1525.2222222222219</v>
      </c>
    </row>
    <row r="26" spans="1:8">
      <c r="A26" s="49">
        <v>3</v>
      </c>
      <c r="B26" s="142">
        <v>2267</v>
      </c>
      <c r="C26" s="142">
        <v>2087.9718814972834</v>
      </c>
      <c r="D26" s="142">
        <v>1684.2315515955263</v>
      </c>
      <c r="E26" s="142">
        <v>1384.5366284201234</v>
      </c>
      <c r="F26" s="142">
        <v>1272.7008484553241</v>
      </c>
      <c r="G26" s="142">
        <v>1052.1232913515698</v>
      </c>
      <c r="H26" s="143">
        <v>1139.8531029573546</v>
      </c>
    </row>
    <row r="27" spans="1:8">
      <c r="A27" s="49">
        <v>4</v>
      </c>
      <c r="B27" s="142">
        <v>2207.8205128205127</v>
      </c>
      <c r="C27" s="142">
        <v>1581.0824534071896</v>
      </c>
      <c r="D27" s="142">
        <v>1697.8568997374307</v>
      </c>
      <c r="E27" s="142">
        <v>1456.8614978621656</v>
      </c>
      <c r="F27" s="142">
        <v>1387.3306822485529</v>
      </c>
      <c r="G27" s="142">
        <v>972.67986798679874</v>
      </c>
      <c r="H27" s="143">
        <v>1152.1126785244896</v>
      </c>
    </row>
    <row r="28" spans="1:8">
      <c r="A28" s="49">
        <v>5</v>
      </c>
      <c r="B28" s="142">
        <v>1258.6666666666667</v>
      </c>
      <c r="C28" s="142">
        <v>1689.6228938683344</v>
      </c>
      <c r="D28" s="142">
        <v>1683.2038469804427</v>
      </c>
      <c r="E28" s="142">
        <v>1460.050107372942</v>
      </c>
      <c r="F28" s="142">
        <v>1392.9698212970354</v>
      </c>
      <c r="G28" s="142">
        <v>1090.9638186040827</v>
      </c>
      <c r="H28" s="143">
        <v>1038.5595238095236</v>
      </c>
    </row>
    <row r="29" spans="1:8">
      <c r="A29" s="49">
        <v>6</v>
      </c>
      <c r="B29" s="142"/>
      <c r="C29" s="142">
        <v>1349.5726495726497</v>
      </c>
      <c r="D29" s="142">
        <v>1238.9655377362403</v>
      </c>
      <c r="E29" s="142">
        <v>1195.5162009707465</v>
      </c>
      <c r="F29" s="142">
        <v>1076.4013267482408</v>
      </c>
      <c r="G29" s="142">
        <v>1123.1322272498744</v>
      </c>
      <c r="H29" s="143">
        <v>1029.1243831363763</v>
      </c>
    </row>
    <row r="30" spans="1:8">
      <c r="A30" s="49">
        <v>7</v>
      </c>
      <c r="B30" s="142"/>
      <c r="C30" s="142">
        <v>1030.8072778661015</v>
      </c>
      <c r="D30" s="142">
        <v>1379.7805788982259</v>
      </c>
      <c r="E30" s="142">
        <v>1228.260412427079</v>
      </c>
      <c r="F30" s="142">
        <v>936.9281045751635</v>
      </c>
      <c r="G30" s="142">
        <v>889.47194719471952</v>
      </c>
      <c r="H30" s="143">
        <v>888.34951456310682</v>
      </c>
    </row>
    <row r="31" spans="1:8" ht="15" thickBot="1">
      <c r="A31" s="52">
        <v>8</v>
      </c>
      <c r="B31" s="144"/>
      <c r="C31" s="144"/>
      <c r="D31" s="144">
        <v>484.0515151515151</v>
      </c>
      <c r="E31" s="144"/>
      <c r="F31" s="144">
        <v>401.93827160493828</v>
      </c>
      <c r="G31" s="144">
        <v>339.60396039603961</v>
      </c>
      <c r="H31" s="145"/>
    </row>
  </sheetData>
  <mergeCells count="2">
    <mergeCell ref="A10:H10"/>
    <mergeCell ref="A22:H2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8F55F-97A0-4BE1-9C51-1A1831EBE41D}">
  <sheetPr codeName="Sheet9"/>
  <dimension ref="A1:H26"/>
  <sheetViews>
    <sheetView zoomScale="74" zoomScaleNormal="70" workbookViewId="0">
      <selection activeCell="F15" sqref="F15"/>
    </sheetView>
  </sheetViews>
  <sheetFormatPr defaultColWidth="11.44140625" defaultRowHeight="14.4"/>
  <sheetData>
    <row r="1" spans="1:8">
      <c r="A1" s="165" t="s">
        <v>31</v>
      </c>
      <c r="B1" s="166"/>
      <c r="C1" s="166"/>
      <c r="D1" s="166"/>
      <c r="E1" s="166"/>
      <c r="F1" s="166"/>
      <c r="G1" s="166"/>
      <c r="H1" s="167"/>
    </row>
    <row r="2" spans="1:8">
      <c r="A2" s="49" t="s">
        <v>32</v>
      </c>
      <c r="B2" s="50">
        <v>1</v>
      </c>
      <c r="C2" s="50">
        <v>2</v>
      </c>
      <c r="D2" s="50">
        <v>3</v>
      </c>
      <c r="E2" s="50">
        <v>4</v>
      </c>
      <c r="F2" s="53">
        <v>5</v>
      </c>
      <c r="G2" s="50">
        <v>6</v>
      </c>
      <c r="H2" s="51">
        <v>7</v>
      </c>
    </row>
    <row r="3" spans="1:8">
      <c r="A3" s="49">
        <v>1</v>
      </c>
      <c r="B3" s="142">
        <v>7254.44</v>
      </c>
      <c r="C3" s="142">
        <v>6356.6766666666663</v>
      </c>
      <c r="D3" s="142">
        <v>6162.4199999999992</v>
      </c>
      <c r="E3" s="142">
        <v>5252.2433333333329</v>
      </c>
      <c r="F3" s="146">
        <v>6514.7966666666662</v>
      </c>
      <c r="G3" s="142">
        <v>3596.2033333333334</v>
      </c>
      <c r="H3" s="143">
        <v>2481.9466666666667</v>
      </c>
    </row>
    <row r="4" spans="1:8">
      <c r="A4" s="49">
        <v>2</v>
      </c>
      <c r="B4" s="142">
        <v>6343.5166666666664</v>
      </c>
      <c r="C4" s="142">
        <v>6461.833333333333</v>
      </c>
      <c r="D4" s="142">
        <v>5893.07</v>
      </c>
      <c r="E4" s="142">
        <v>4596.82</v>
      </c>
      <c r="F4" s="146">
        <v>5013.086666666667</v>
      </c>
      <c r="G4" s="142">
        <v>2892.126666666667</v>
      </c>
      <c r="H4" s="143">
        <v>1746.605</v>
      </c>
    </row>
    <row r="5" spans="1:8">
      <c r="A5" s="49">
        <v>3</v>
      </c>
      <c r="B5" s="142">
        <v>7200.0566666666664</v>
      </c>
      <c r="C5" s="142">
        <v>6074.9199999999992</v>
      </c>
      <c r="D5" s="142">
        <v>6003.0366666666669</v>
      </c>
      <c r="E5" s="142">
        <v>4881.5166666666673</v>
      </c>
      <c r="F5" s="146">
        <v>4740.7766666666666</v>
      </c>
      <c r="G5" s="142">
        <v>3869.1666666666665</v>
      </c>
      <c r="H5" s="143">
        <v>1862.87</v>
      </c>
    </row>
    <row r="6" spans="1:8">
      <c r="A6" s="54">
        <v>4</v>
      </c>
      <c r="B6" s="146">
        <v>6468.5466666666662</v>
      </c>
      <c r="C6" s="146">
        <v>4832.376666666667</v>
      </c>
      <c r="D6" s="146">
        <v>4882.9800000000005</v>
      </c>
      <c r="E6" s="146">
        <v>4765.1366666666663</v>
      </c>
      <c r="F6" s="146">
        <v>4459.4066666666668</v>
      </c>
      <c r="G6" s="146">
        <v>3067.47</v>
      </c>
      <c r="H6" s="147">
        <v>1754.4533333333331</v>
      </c>
    </row>
    <row r="7" spans="1:8">
      <c r="A7" s="49">
        <v>5</v>
      </c>
      <c r="B7" s="142">
        <v>5243.3877170325732</v>
      </c>
      <c r="C7" s="142">
        <v>7043.0059523809532</v>
      </c>
      <c r="D7" s="142">
        <v>6305.0039391611499</v>
      </c>
      <c r="E7" s="142">
        <v>5802.9922992299225</v>
      </c>
      <c r="F7" s="146">
        <v>5226.3696369636964</v>
      </c>
      <c r="G7" s="142">
        <v>3856.6666666666665</v>
      </c>
      <c r="H7" s="143">
        <v>3040</v>
      </c>
    </row>
    <row r="8" spans="1:8">
      <c r="A8" s="49">
        <v>6</v>
      </c>
      <c r="B8" s="142">
        <v>5168.8362192383629</v>
      </c>
      <c r="C8" s="142">
        <v>5003.7926743494018</v>
      </c>
      <c r="D8" s="142">
        <v>4141.3841972432538</v>
      </c>
      <c r="E8" s="142">
        <v>3183.7689768976902</v>
      </c>
      <c r="F8" s="146">
        <v>4358.5907859078588</v>
      </c>
      <c r="G8" s="142">
        <v>3750.6666666666665</v>
      </c>
      <c r="H8" s="143">
        <v>3306.6666666666665</v>
      </c>
    </row>
    <row r="9" spans="1:8">
      <c r="A9" s="49">
        <v>7</v>
      </c>
      <c r="B9" s="142">
        <v>3373.1154063121644</v>
      </c>
      <c r="C9" s="142">
        <v>3164.0264026402638</v>
      </c>
      <c r="D9" s="142">
        <v>3789.339933993399</v>
      </c>
      <c r="E9" s="142">
        <v>3040.5940594059407</v>
      </c>
      <c r="F9" s="146">
        <v>3275.7269700332963</v>
      </c>
      <c r="G9" s="142">
        <v>3276.002717918851</v>
      </c>
      <c r="H9" s="143">
        <v>3025.8861340679523</v>
      </c>
    </row>
    <row r="10" spans="1:8" ht="15" thickBot="1">
      <c r="A10" s="52">
        <v>8</v>
      </c>
      <c r="B10" s="144">
        <v>2626.7843137254899</v>
      </c>
      <c r="C10" s="144">
        <v>2456.5165016501651</v>
      </c>
      <c r="D10" s="144">
        <v>2112.9198213939039</v>
      </c>
      <c r="E10" s="144">
        <v>1866.8118811881188</v>
      </c>
      <c r="F10" s="148">
        <v>1881.6946260663801</v>
      </c>
      <c r="G10" s="144">
        <v>1985.8679547566408</v>
      </c>
      <c r="H10" s="145">
        <v>1539.6327982312794</v>
      </c>
    </row>
    <row r="16" spans="1:8" ht="15" thickBot="1"/>
    <row r="17" spans="1:8">
      <c r="A17" s="165" t="s">
        <v>70</v>
      </c>
      <c r="B17" s="166"/>
      <c r="C17" s="166"/>
      <c r="D17" s="166"/>
      <c r="E17" s="166"/>
      <c r="F17" s="166"/>
      <c r="G17" s="166"/>
      <c r="H17" s="167"/>
    </row>
    <row r="18" spans="1:8">
      <c r="A18" s="49" t="s">
        <v>32</v>
      </c>
      <c r="B18" s="50">
        <v>1</v>
      </c>
      <c r="C18" s="50">
        <v>2</v>
      </c>
      <c r="D18" s="50">
        <v>3</v>
      </c>
      <c r="E18" s="50">
        <v>4</v>
      </c>
      <c r="F18" s="53">
        <v>5</v>
      </c>
      <c r="G18" s="50">
        <v>6</v>
      </c>
      <c r="H18" s="51">
        <v>7</v>
      </c>
    </row>
    <row r="19" spans="1:8">
      <c r="A19" s="49">
        <v>1</v>
      </c>
      <c r="B19" s="142">
        <v>3857.4421118094106</v>
      </c>
      <c r="C19" s="142">
        <v>2416.9266291422227</v>
      </c>
      <c r="D19" s="142">
        <v>2246.3818433125366</v>
      </c>
      <c r="E19" s="142">
        <v>1921.6576785883717</v>
      </c>
      <c r="F19" s="146">
        <v>1763.5087257659618</v>
      </c>
      <c r="G19" s="142">
        <v>1370.0914873418806</v>
      </c>
      <c r="H19" s="143">
        <v>1134.8450661579921</v>
      </c>
    </row>
    <row r="20" spans="1:8">
      <c r="A20" s="49">
        <v>2</v>
      </c>
      <c r="B20" s="142">
        <v>2566.8877099911583</v>
      </c>
      <c r="C20" s="142">
        <v>2826.3896594236398</v>
      </c>
      <c r="D20" s="142">
        <v>1992.5302845420622</v>
      </c>
      <c r="E20" s="142">
        <v>1520.2368990289021</v>
      </c>
      <c r="F20" s="146">
        <v>1330.2457629540713</v>
      </c>
      <c r="G20" s="142">
        <v>1387.2222222222219</v>
      </c>
      <c r="H20" s="143">
        <v>1525.2222222222219</v>
      </c>
    </row>
    <row r="21" spans="1:8">
      <c r="A21" s="49">
        <v>3</v>
      </c>
      <c r="B21" s="142">
        <v>2267</v>
      </c>
      <c r="C21" s="142">
        <v>2087.9718814972834</v>
      </c>
      <c r="D21" s="142">
        <v>1684.2315515955263</v>
      </c>
      <c r="E21" s="142">
        <v>1384.5366284201234</v>
      </c>
      <c r="F21" s="146">
        <v>1272.7008484553241</v>
      </c>
      <c r="G21" s="142">
        <v>1052.1232913515698</v>
      </c>
      <c r="H21" s="143">
        <v>1139.8531029573546</v>
      </c>
    </row>
    <row r="22" spans="1:8">
      <c r="A22" s="54">
        <v>4</v>
      </c>
      <c r="B22" s="146">
        <v>2207.8205128205127</v>
      </c>
      <c r="C22" s="146">
        <v>1581.0824534071896</v>
      </c>
      <c r="D22" s="146">
        <v>1697.8568997374307</v>
      </c>
      <c r="E22" s="146">
        <v>1456.8614978621656</v>
      </c>
      <c r="F22" s="146">
        <v>1387.3306822485529</v>
      </c>
      <c r="G22" s="146">
        <v>972.67986798679874</v>
      </c>
      <c r="H22" s="147">
        <v>1152.1126785244896</v>
      </c>
    </row>
    <row r="23" spans="1:8">
      <c r="A23" s="49">
        <v>5</v>
      </c>
      <c r="B23" s="142">
        <v>1258.6666666666667</v>
      </c>
      <c r="C23" s="142">
        <v>1689.6228938683344</v>
      </c>
      <c r="D23" s="142">
        <v>1683.2038469804427</v>
      </c>
      <c r="E23" s="142">
        <v>1460.050107372942</v>
      </c>
      <c r="F23" s="146">
        <v>1392.9698212970354</v>
      </c>
      <c r="G23" s="142">
        <v>1090.9638186040827</v>
      </c>
      <c r="H23" s="143">
        <v>1038.5595238095236</v>
      </c>
    </row>
    <row r="24" spans="1:8">
      <c r="A24" s="49">
        <v>6</v>
      </c>
      <c r="B24" s="142"/>
      <c r="C24" s="142">
        <v>1349.5726495726497</v>
      </c>
      <c r="D24" s="142">
        <v>1238.9655377362403</v>
      </c>
      <c r="E24" s="142">
        <v>1195.5162009707465</v>
      </c>
      <c r="F24" s="146">
        <v>1076.4013267482408</v>
      </c>
      <c r="G24" s="142">
        <v>1123.1322272498744</v>
      </c>
      <c r="H24" s="143">
        <v>1029.1243831363763</v>
      </c>
    </row>
    <row r="25" spans="1:8">
      <c r="A25" s="49">
        <v>7</v>
      </c>
      <c r="B25" s="142"/>
      <c r="C25" s="142">
        <v>1030.8072778661015</v>
      </c>
      <c r="D25" s="142">
        <v>1379.7805788982259</v>
      </c>
      <c r="E25" s="142">
        <v>1228.260412427079</v>
      </c>
      <c r="F25" s="146">
        <v>936.9281045751635</v>
      </c>
      <c r="G25" s="142">
        <v>889.47194719471952</v>
      </c>
      <c r="H25" s="143">
        <v>888.34951456310682</v>
      </c>
    </row>
    <row r="26" spans="1:8" ht="15" thickBot="1">
      <c r="A26" s="52">
        <v>8</v>
      </c>
      <c r="B26" s="144"/>
      <c r="C26" s="144"/>
      <c r="D26" s="144">
        <v>484.0515151515151</v>
      </c>
      <c r="E26" s="144"/>
      <c r="F26" s="148">
        <v>401.93827160493828</v>
      </c>
      <c r="G26" s="144">
        <v>339.60396039603961</v>
      </c>
      <c r="H26" s="145"/>
    </row>
  </sheetData>
  <mergeCells count="2">
    <mergeCell ref="A1:H1"/>
    <mergeCell ref="A17:H1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A601-AD1C-4650-A409-B39BFD66DDDF}">
  <sheetPr codeName="Sheet10"/>
  <dimension ref="A1:Q47"/>
  <sheetViews>
    <sheetView topLeftCell="A17" zoomScale="75" zoomScaleNormal="75" workbookViewId="0">
      <selection activeCell="G37" sqref="G37"/>
    </sheetView>
  </sheetViews>
  <sheetFormatPr defaultColWidth="11.5546875" defaultRowHeight="14.4"/>
  <cols>
    <col min="1" max="1" width="15.21875" customWidth="1"/>
    <col min="2" max="2" width="24.21875" customWidth="1"/>
    <col min="3" max="3" width="28.33203125" customWidth="1"/>
    <col min="6" max="6" width="24.21875" customWidth="1"/>
    <col min="7" max="7" width="15.21875" customWidth="1"/>
    <col min="8" max="8" width="16.88671875" customWidth="1"/>
    <col min="10" max="10" width="14.6640625" customWidth="1"/>
    <col min="11" max="11" width="20.44140625" customWidth="1"/>
    <col min="12" max="12" width="28.21875" bestFit="1" customWidth="1"/>
    <col min="13" max="13" width="9.5546875" bestFit="1" customWidth="1"/>
    <col min="14" max="14" width="11.109375" bestFit="1" customWidth="1"/>
    <col min="15" max="15" width="20.33203125" bestFit="1" customWidth="1"/>
    <col min="16" max="16" width="13.5546875" bestFit="1" customWidth="1"/>
    <col min="17" max="17" width="15.33203125" bestFit="1" customWidth="1"/>
    <col min="18" max="18" width="12.5546875" bestFit="1" customWidth="1"/>
  </cols>
  <sheetData>
    <row r="1" spans="1:17" ht="17.399999999999999">
      <c r="A1" s="55" t="s">
        <v>97</v>
      </c>
    </row>
    <row r="2" spans="1:17" ht="18">
      <c r="A2" s="56" t="s">
        <v>98</v>
      </c>
      <c r="B2" s="57"/>
      <c r="C2" s="57"/>
      <c r="D2" s="57"/>
    </row>
    <row r="3" spans="1:17" ht="18">
      <c r="A3" s="56" t="s">
        <v>99</v>
      </c>
      <c r="B3" s="57"/>
      <c r="C3" s="57"/>
      <c r="D3" s="57"/>
    </row>
    <row r="5" spans="1:17" ht="15" thickBot="1"/>
    <row r="6" spans="1:17" ht="15" thickBot="1">
      <c r="A6" s="171" t="s">
        <v>32</v>
      </c>
      <c r="B6" s="86" t="s">
        <v>123</v>
      </c>
      <c r="C6" s="87" t="s">
        <v>106</v>
      </c>
      <c r="D6" s="176" t="s">
        <v>107</v>
      </c>
      <c r="E6" s="178" t="s">
        <v>108</v>
      </c>
      <c r="F6" s="178" t="s">
        <v>109</v>
      </c>
      <c r="G6" s="178" t="s">
        <v>110</v>
      </c>
      <c r="H6" s="180" t="s">
        <v>111</v>
      </c>
      <c r="J6" s="171" t="s">
        <v>32</v>
      </c>
      <c r="K6" s="86" t="s">
        <v>123</v>
      </c>
      <c r="L6" s="87" t="s">
        <v>106</v>
      </c>
      <c r="M6" s="176" t="s">
        <v>107</v>
      </c>
      <c r="N6" s="178" t="s">
        <v>108</v>
      </c>
      <c r="O6" s="178" t="s">
        <v>109</v>
      </c>
      <c r="P6" s="178" t="s">
        <v>110</v>
      </c>
      <c r="Q6" s="180" t="s">
        <v>111</v>
      </c>
    </row>
    <row r="7" spans="1:17" ht="16.2" thickBot="1">
      <c r="A7" s="172"/>
      <c r="B7" s="88" t="s">
        <v>6</v>
      </c>
      <c r="C7" s="102" t="s">
        <v>8</v>
      </c>
      <c r="D7" s="177"/>
      <c r="E7" s="179"/>
      <c r="F7" s="179"/>
      <c r="G7" s="179"/>
      <c r="H7" s="181"/>
      <c r="J7" s="172"/>
      <c r="K7" s="88" t="s">
        <v>6</v>
      </c>
      <c r="L7" s="102" t="s">
        <v>8</v>
      </c>
      <c r="M7" s="177"/>
      <c r="N7" s="179"/>
      <c r="O7" s="179"/>
      <c r="P7" s="179"/>
      <c r="Q7" s="181"/>
    </row>
    <row r="8" spans="1:17" ht="14.4" customHeight="1">
      <c r="A8" s="168" t="s">
        <v>122</v>
      </c>
      <c r="B8" s="103">
        <v>1</v>
      </c>
      <c r="C8" s="106">
        <f>AVERAGE('Data Summary'!C4:I4)</f>
        <v>5374.1038095238082</v>
      </c>
      <c r="D8" s="111">
        <f>B8-$B$16</f>
        <v>-3.5</v>
      </c>
      <c r="E8" s="111">
        <f>C8-$C$16</f>
        <v>1119.2011264323437</v>
      </c>
      <c r="F8" s="111">
        <f>D8*E8</f>
        <v>-3917.2039425132029</v>
      </c>
      <c r="G8" s="111">
        <f>D8^2</f>
        <v>12.25</v>
      </c>
      <c r="H8" s="112">
        <f>E8^2</f>
        <v>1252611.1614074269</v>
      </c>
      <c r="J8" s="173" t="s">
        <v>124</v>
      </c>
      <c r="K8" s="103">
        <v>1</v>
      </c>
      <c r="L8" s="106">
        <f>AVERAGE('Data Summary'!L4:R4)</f>
        <v>2101.5505060169107</v>
      </c>
      <c r="M8" s="111">
        <f>K8-$B$16</f>
        <v>-3.5</v>
      </c>
      <c r="N8" s="111">
        <f>L8-$C$16</f>
        <v>-2153.3521770745538</v>
      </c>
      <c r="O8" s="111">
        <f>M8*N8</f>
        <v>7536.7326197609382</v>
      </c>
      <c r="P8" s="111">
        <f>M8^2</f>
        <v>12.25</v>
      </c>
      <c r="Q8" s="112">
        <f>N8^2</f>
        <v>4636925.5985117201</v>
      </c>
    </row>
    <row r="9" spans="1:17" ht="14.4" customHeight="1">
      <c r="A9" s="169"/>
      <c r="B9" s="104">
        <v>2</v>
      </c>
      <c r="C9" s="106">
        <f>AVERAGE('Data Summary'!C5:I5)</f>
        <v>4706.7226190476194</v>
      </c>
      <c r="D9" s="111">
        <f t="shared" ref="D9:D15" si="0">B9-$B$16</f>
        <v>-2.5</v>
      </c>
      <c r="E9" s="111">
        <f t="shared" ref="E9:E15" si="1">C9-$C$16</f>
        <v>451.81993595615495</v>
      </c>
      <c r="F9" s="111">
        <f t="shared" ref="F9:F15" si="2">D9*E9</f>
        <v>-1129.5498398903874</v>
      </c>
      <c r="G9" s="111">
        <f t="shared" ref="G9:G15" si="3">D9^2</f>
        <v>6.25</v>
      </c>
      <c r="H9" s="112">
        <f t="shared" ref="H9:H15" si="4">E9^2</f>
        <v>204141.25452742397</v>
      </c>
      <c r="J9" s="174"/>
      <c r="K9" s="104">
        <v>2</v>
      </c>
      <c r="L9" s="106">
        <f>AVERAGE('Data Summary'!L5:R5)</f>
        <v>1878.3906800548971</v>
      </c>
      <c r="M9" s="111">
        <f t="shared" ref="M9:M15" si="5">K9-$B$16</f>
        <v>-2.5</v>
      </c>
      <c r="N9" s="111">
        <f t="shared" ref="N9:N15" si="6">L9-$C$16</f>
        <v>-2376.5120030365674</v>
      </c>
      <c r="O9" s="111">
        <f t="shared" ref="O9:O15" si="7">M9*N9</f>
        <v>5941.2800075914183</v>
      </c>
      <c r="P9" s="111">
        <f t="shared" ref="P9:P15" si="8">M9^2</f>
        <v>6.25</v>
      </c>
      <c r="Q9" s="112">
        <f t="shared" ref="Q9:Q15" si="9">N9^2</f>
        <v>5647809.3005768778</v>
      </c>
    </row>
    <row r="10" spans="1:17" ht="14.4" customHeight="1">
      <c r="A10" s="169"/>
      <c r="B10" s="104">
        <v>3</v>
      </c>
      <c r="C10" s="106">
        <f>AVERAGE('Data Summary'!C6:I6)</f>
        <v>4947.4776190476186</v>
      </c>
      <c r="D10" s="111">
        <f t="shared" si="0"/>
        <v>-1.5</v>
      </c>
      <c r="E10" s="111">
        <f t="shared" si="1"/>
        <v>692.57493595615415</v>
      </c>
      <c r="F10" s="111">
        <f t="shared" si="2"/>
        <v>-1038.8624039342312</v>
      </c>
      <c r="G10" s="111">
        <f t="shared" si="3"/>
        <v>2.25</v>
      </c>
      <c r="H10" s="112">
        <f t="shared" si="4"/>
        <v>479660.04191467102</v>
      </c>
      <c r="J10" s="174"/>
      <c r="K10" s="104">
        <v>3</v>
      </c>
      <c r="L10" s="106">
        <f>AVERAGE('Data Summary'!L6:R6)</f>
        <v>1555.488186325312</v>
      </c>
      <c r="M10" s="111">
        <f t="shared" si="5"/>
        <v>-1.5</v>
      </c>
      <c r="N10" s="111">
        <f t="shared" si="6"/>
        <v>-2699.4144967661523</v>
      </c>
      <c r="O10" s="111">
        <f t="shared" si="7"/>
        <v>4049.1217451492284</v>
      </c>
      <c r="P10" s="111">
        <f t="shared" si="8"/>
        <v>2.25</v>
      </c>
      <c r="Q10" s="112">
        <f t="shared" si="9"/>
        <v>7286838.6253512595</v>
      </c>
    </row>
    <row r="11" spans="1:17" ht="14.4" customHeight="1">
      <c r="A11" s="169"/>
      <c r="B11" s="104">
        <v>4</v>
      </c>
      <c r="C11" s="106">
        <f>AVERAGE('Data Summary'!C7:I7)</f>
        <v>4318.6242857142852</v>
      </c>
      <c r="D11" s="111">
        <f t="shared" si="0"/>
        <v>-0.5</v>
      </c>
      <c r="E11" s="111">
        <f t="shared" si="1"/>
        <v>63.721602622820683</v>
      </c>
      <c r="F11" s="111">
        <f t="shared" si="2"/>
        <v>-31.860801311410341</v>
      </c>
      <c r="G11" s="111">
        <f t="shared" si="3"/>
        <v>0.25</v>
      </c>
      <c r="H11" s="112">
        <f t="shared" si="4"/>
        <v>4060.4426408206677</v>
      </c>
      <c r="J11" s="174"/>
      <c r="K11" s="104">
        <v>4</v>
      </c>
      <c r="L11" s="106">
        <f>AVERAGE('Data Summary'!L7:R7)</f>
        <v>1493.67779894102</v>
      </c>
      <c r="M11" s="111">
        <f t="shared" si="5"/>
        <v>-0.5</v>
      </c>
      <c r="N11" s="111">
        <f t="shared" si="6"/>
        <v>-2761.2248841504443</v>
      </c>
      <c r="O11" s="111">
        <f t="shared" si="7"/>
        <v>1380.6124420752221</v>
      </c>
      <c r="P11" s="111">
        <f t="shared" si="8"/>
        <v>0.25</v>
      </c>
      <c r="Q11" s="112">
        <f t="shared" si="9"/>
        <v>7624362.8608516343</v>
      </c>
    </row>
    <row r="12" spans="1:17" ht="14.4" customHeight="1">
      <c r="A12" s="169"/>
      <c r="B12" s="104">
        <v>5</v>
      </c>
      <c r="C12" s="106">
        <f>AVERAGE('Data Summary'!C8:I8)</f>
        <v>5216.7751730621376</v>
      </c>
      <c r="D12" s="111">
        <f t="shared" si="0"/>
        <v>0.5</v>
      </c>
      <c r="E12" s="111">
        <f t="shared" si="1"/>
        <v>961.87248997067309</v>
      </c>
      <c r="F12" s="111">
        <f t="shared" si="2"/>
        <v>480.93624498533654</v>
      </c>
      <c r="G12" s="111">
        <f t="shared" si="3"/>
        <v>0.25</v>
      </c>
      <c r="H12" s="112">
        <f t="shared" si="4"/>
        <v>925198.68696238264</v>
      </c>
      <c r="J12" s="174"/>
      <c r="K12" s="104">
        <v>5</v>
      </c>
      <c r="L12" s="106">
        <f>AVERAGE('Data Summary'!L8:R8)</f>
        <v>1373.4338112284324</v>
      </c>
      <c r="M12" s="111">
        <f t="shared" si="5"/>
        <v>0.5</v>
      </c>
      <c r="N12" s="111">
        <f t="shared" si="6"/>
        <v>-2881.4688718630323</v>
      </c>
      <c r="O12" s="111">
        <f t="shared" si="7"/>
        <v>-1440.7344359315161</v>
      </c>
      <c r="P12" s="111">
        <f t="shared" si="8"/>
        <v>0.25</v>
      </c>
      <c r="Q12" s="112">
        <f t="shared" si="9"/>
        <v>8302862.8595156157</v>
      </c>
    </row>
    <row r="13" spans="1:17" ht="14.4" customHeight="1">
      <c r="A13" s="169"/>
      <c r="B13" s="104">
        <v>6</v>
      </c>
      <c r="C13" s="106">
        <f>AVERAGE('Data Summary'!C9:I9)</f>
        <v>4130.5294552814139</v>
      </c>
      <c r="D13" s="111">
        <f t="shared" si="0"/>
        <v>1.5</v>
      </c>
      <c r="E13" s="111">
        <f t="shared" si="1"/>
        <v>-124.37322781005059</v>
      </c>
      <c r="F13" s="111">
        <f t="shared" si="2"/>
        <v>-186.55984171507589</v>
      </c>
      <c r="G13" s="111">
        <f t="shared" si="3"/>
        <v>2.25</v>
      </c>
      <c r="H13" s="112">
        <f t="shared" si="4"/>
        <v>15468.699795890743</v>
      </c>
      <c r="J13" s="174"/>
      <c r="K13" s="104">
        <v>6</v>
      </c>
      <c r="L13" s="106">
        <f>AVERAGE('Data Summary'!L9:R9)</f>
        <v>1168.7853875690214</v>
      </c>
      <c r="M13" s="111">
        <f t="shared" si="5"/>
        <v>1.5</v>
      </c>
      <c r="N13" s="111">
        <f t="shared" si="6"/>
        <v>-3086.1172955224429</v>
      </c>
      <c r="O13" s="111">
        <f t="shared" si="7"/>
        <v>-4629.1759432836643</v>
      </c>
      <c r="P13" s="111">
        <f t="shared" si="8"/>
        <v>2.25</v>
      </c>
      <c r="Q13" s="112">
        <f t="shared" si="9"/>
        <v>9524119.9617227577</v>
      </c>
    </row>
    <row r="14" spans="1:17" ht="14.4" customHeight="1">
      <c r="A14" s="169"/>
      <c r="B14" s="104">
        <v>7</v>
      </c>
      <c r="C14" s="106">
        <f>AVERAGE('Data Summary'!C10:I10)</f>
        <v>3277.8130891959809</v>
      </c>
      <c r="D14" s="113">
        <f t="shared" si="0"/>
        <v>2.5</v>
      </c>
      <c r="E14" s="111">
        <f t="shared" si="1"/>
        <v>-977.08959389548363</v>
      </c>
      <c r="F14" s="111">
        <f t="shared" si="2"/>
        <v>-2442.7239847387091</v>
      </c>
      <c r="G14" s="111">
        <f t="shared" si="3"/>
        <v>6.25</v>
      </c>
      <c r="H14" s="112">
        <f t="shared" si="4"/>
        <v>954704.07449884107</v>
      </c>
      <c r="J14" s="174"/>
      <c r="K14" s="104">
        <v>7</v>
      </c>
      <c r="L14" s="106">
        <f>AVERAGE('Data Summary'!L10:R10)</f>
        <v>1058.9329725873993</v>
      </c>
      <c r="M14" s="113">
        <f t="shared" si="5"/>
        <v>2.5</v>
      </c>
      <c r="N14" s="111">
        <f t="shared" si="6"/>
        <v>-3195.969710504065</v>
      </c>
      <c r="O14" s="111">
        <f t="shared" si="7"/>
        <v>-7989.9242762601625</v>
      </c>
      <c r="P14" s="111">
        <f t="shared" si="8"/>
        <v>6.25</v>
      </c>
      <c r="Q14" s="112">
        <f t="shared" si="9"/>
        <v>10214222.390459437</v>
      </c>
    </row>
    <row r="15" spans="1:17" ht="14.4" customHeight="1" thickBot="1">
      <c r="A15" s="170"/>
      <c r="B15" s="105">
        <v>8</v>
      </c>
      <c r="C15" s="107">
        <f>AVERAGE('Data Summary'!C11:I11)</f>
        <v>2067.175413858854</v>
      </c>
      <c r="D15" s="114">
        <f t="shared" si="0"/>
        <v>3.5</v>
      </c>
      <c r="E15" s="115">
        <f t="shared" si="1"/>
        <v>-2187.7272692326105</v>
      </c>
      <c r="F15" s="115">
        <f t="shared" si="2"/>
        <v>-7657.0454423141364</v>
      </c>
      <c r="G15" s="115">
        <f t="shared" si="3"/>
        <v>12.25</v>
      </c>
      <c r="H15" s="116">
        <f t="shared" si="4"/>
        <v>4786150.6045439756</v>
      </c>
      <c r="J15" s="175"/>
      <c r="K15" s="105">
        <v>8</v>
      </c>
      <c r="L15" s="106">
        <f>AVERAGE('Data Summary'!L11:R11)</f>
        <v>408.53124905083104</v>
      </c>
      <c r="M15" s="114">
        <f t="shared" si="5"/>
        <v>3.5</v>
      </c>
      <c r="N15" s="115">
        <f t="shared" si="6"/>
        <v>-3846.3714340406336</v>
      </c>
      <c r="O15" s="115">
        <f t="shared" si="7"/>
        <v>-13462.300019142218</v>
      </c>
      <c r="P15" s="115">
        <f t="shared" si="8"/>
        <v>12.25</v>
      </c>
      <c r="Q15" s="116">
        <f t="shared" si="9"/>
        <v>14794573.208603801</v>
      </c>
    </row>
    <row r="16" spans="1:17">
      <c r="A16" s="89" t="s">
        <v>77</v>
      </c>
      <c r="B16" s="90">
        <f>AVERAGE(B8:B15)</f>
        <v>4.5</v>
      </c>
      <c r="C16" s="108">
        <f>AVERAGE(C8:C15)</f>
        <v>4254.9026830914645</v>
      </c>
      <c r="D16" s="110"/>
      <c r="J16" s="89" t="s">
        <v>77</v>
      </c>
      <c r="K16" s="90">
        <f>AVERAGE(K8:K15)</f>
        <v>4.5</v>
      </c>
      <c r="L16" s="108">
        <f>AVERAGE(L8:L15)</f>
        <v>1379.8488239717281</v>
      </c>
      <c r="M16" s="110"/>
    </row>
    <row r="17" spans="1:17" ht="15" thickBot="1">
      <c r="A17" s="91" t="s">
        <v>112</v>
      </c>
      <c r="B17" s="92">
        <f>_xlfn.STDEV.S(B8:B15)</f>
        <v>2.4494897427831779</v>
      </c>
      <c r="C17" s="109">
        <f>_xlfn.STDEV.S(C8:C15)</f>
        <v>1109.8259172559747</v>
      </c>
      <c r="D17" s="110"/>
      <c r="J17" s="91" t="s">
        <v>112</v>
      </c>
      <c r="K17" s="92">
        <f>_xlfn.STDEV.S(K8:K15)</f>
        <v>2.4494897427831779</v>
      </c>
      <c r="L17" s="109">
        <f>_xlfn.STDEV.S(L8:L15)</f>
        <v>521.56868646130306</v>
      </c>
      <c r="M17" s="110"/>
    </row>
    <row r="18" spans="1:17" ht="15.6">
      <c r="A18" s="94"/>
      <c r="B18" s="120"/>
      <c r="C18" s="95"/>
      <c r="D18" s="93"/>
      <c r="J18" s="94"/>
      <c r="K18" s="120"/>
      <c r="L18" s="95"/>
      <c r="M18" s="93"/>
    </row>
    <row r="19" spans="1:17" ht="15.6">
      <c r="A19" s="94" t="s">
        <v>113</v>
      </c>
      <c r="B19" s="120">
        <f>_xlfn.COVARIANCE.S(B8:B15,C8:C15)</f>
        <v>-2274.695715918831</v>
      </c>
      <c r="C19" s="97" t="s">
        <v>114</v>
      </c>
      <c r="D19" s="117"/>
      <c r="J19" s="94" t="s">
        <v>113</v>
      </c>
      <c r="K19" s="120">
        <f>_xlfn.COVARIANCE.S(K8:K15,L8:L15)</f>
        <v>-1230.626837148679</v>
      </c>
      <c r="L19" s="97" t="s">
        <v>114</v>
      </c>
      <c r="M19" s="117"/>
    </row>
    <row r="20" spans="1:17" ht="15.6">
      <c r="A20" s="94" t="s">
        <v>115</v>
      </c>
      <c r="B20" s="120">
        <f>_xlfn.STDEV.S(B8:B15)</f>
        <v>2.4494897427831779</v>
      </c>
      <c r="C20" s="118" t="s">
        <v>116</v>
      </c>
      <c r="D20" s="119"/>
      <c r="J20" s="94" t="s">
        <v>115</v>
      </c>
      <c r="K20" s="120">
        <f>_xlfn.STDEV.S(K8:K15)</f>
        <v>2.4494897427831779</v>
      </c>
      <c r="L20" s="118" t="s">
        <v>116</v>
      </c>
      <c r="M20" s="119"/>
    </row>
    <row r="21" spans="1:17" ht="15.6">
      <c r="A21" s="94" t="s">
        <v>117</v>
      </c>
      <c r="B21" s="120">
        <f>_xlfn.STDEV.S(C8:C15)</f>
        <v>1109.8259172559747</v>
      </c>
      <c r="C21" s="118" t="s">
        <v>118</v>
      </c>
      <c r="D21" s="119"/>
      <c r="J21" s="94" t="s">
        <v>117</v>
      </c>
      <c r="K21" s="120">
        <f>_xlfn.STDEV.S(L8:L15)</f>
        <v>521.56868646130306</v>
      </c>
      <c r="L21" s="118" t="s">
        <v>118</v>
      </c>
      <c r="M21" s="119"/>
    </row>
    <row r="22" spans="1:17" ht="15.6">
      <c r="A22" s="94"/>
      <c r="B22" s="120"/>
      <c r="C22" s="97"/>
      <c r="D22" s="117"/>
      <c r="J22" s="94"/>
      <c r="K22" s="120"/>
      <c r="L22" s="97"/>
      <c r="M22" s="117"/>
    </row>
    <row r="23" spans="1:17" ht="16.2">
      <c r="A23" s="96" t="s">
        <v>119</v>
      </c>
      <c r="B23" s="120">
        <f>B19/(B20*B21)</f>
        <v>-0.83674441451627268</v>
      </c>
      <c r="C23" s="97" t="s">
        <v>120</v>
      </c>
      <c r="D23" s="117"/>
      <c r="J23" s="96" t="s">
        <v>119</v>
      </c>
      <c r="K23" s="120">
        <f>K19/(K20*K21)</f>
        <v>-0.96325050852563754</v>
      </c>
      <c r="L23" s="97" t="s">
        <v>120</v>
      </c>
      <c r="M23" s="117"/>
    </row>
    <row r="24" spans="1:17">
      <c r="A24" s="98"/>
      <c r="B24" s="120"/>
      <c r="C24" s="95"/>
      <c r="D24" s="93"/>
      <c r="J24" s="98"/>
      <c r="K24" s="120"/>
      <c r="L24" s="95"/>
      <c r="M24" s="93"/>
    </row>
    <row r="25" spans="1:17" ht="16.2" thickBot="1">
      <c r="A25" s="99" t="s">
        <v>121</v>
      </c>
      <c r="B25" s="121">
        <f>CORREL(B8:B15,C8:C15)</f>
        <v>-0.83674441451627413</v>
      </c>
      <c r="C25" s="100"/>
      <c r="D25" s="101"/>
      <c r="J25" s="99" t="s">
        <v>121</v>
      </c>
      <c r="K25" s="121">
        <f>CORREL(K8:K15,L8:L15)</f>
        <v>-0.96325050852563654</v>
      </c>
      <c r="L25" s="100"/>
      <c r="M25" s="101"/>
    </row>
    <row r="27" spans="1:17" ht="15" thickBot="1"/>
    <row r="28" spans="1:17" ht="15" thickBot="1">
      <c r="A28" s="171" t="s">
        <v>32</v>
      </c>
      <c r="B28" s="86" t="s">
        <v>125</v>
      </c>
      <c r="C28" s="87" t="s">
        <v>106</v>
      </c>
      <c r="D28" s="176" t="s">
        <v>107</v>
      </c>
      <c r="E28" s="178" t="s">
        <v>108</v>
      </c>
      <c r="F28" s="178" t="s">
        <v>109</v>
      </c>
      <c r="G28" s="178" t="s">
        <v>110</v>
      </c>
      <c r="H28" s="180" t="s">
        <v>111</v>
      </c>
      <c r="J28" s="171" t="s">
        <v>32</v>
      </c>
      <c r="K28" s="86" t="s">
        <v>125</v>
      </c>
      <c r="L28" s="87" t="s">
        <v>106</v>
      </c>
      <c r="M28" s="176" t="s">
        <v>107</v>
      </c>
      <c r="N28" s="178" t="s">
        <v>108</v>
      </c>
      <c r="O28" s="178" t="s">
        <v>109</v>
      </c>
      <c r="P28" s="178" t="s">
        <v>110</v>
      </c>
      <c r="Q28" s="180" t="s">
        <v>111</v>
      </c>
    </row>
    <row r="29" spans="1:17" ht="16.2" thickBot="1">
      <c r="A29" s="172"/>
      <c r="B29" s="88" t="s">
        <v>7</v>
      </c>
      <c r="C29" s="102" t="s">
        <v>8</v>
      </c>
      <c r="D29" s="177"/>
      <c r="E29" s="179"/>
      <c r="F29" s="179"/>
      <c r="G29" s="179"/>
      <c r="H29" s="181"/>
      <c r="J29" s="172"/>
      <c r="K29" s="88" t="s">
        <v>7</v>
      </c>
      <c r="L29" s="102" t="s">
        <v>8</v>
      </c>
      <c r="M29" s="177"/>
      <c r="N29" s="179"/>
      <c r="O29" s="179"/>
      <c r="P29" s="179"/>
      <c r="Q29" s="181"/>
    </row>
    <row r="30" spans="1:17" ht="14.4" customHeight="1">
      <c r="A30" s="168" t="s">
        <v>122</v>
      </c>
      <c r="B30" s="103">
        <v>1</v>
      </c>
      <c r="C30" s="106">
        <f>AVERAGE(Table1[IF])</f>
        <v>5459.8354570385736</v>
      </c>
      <c r="D30" s="111">
        <f>B30-$B$16</f>
        <v>-3.5</v>
      </c>
      <c r="E30" s="111">
        <f>C30-$C$16</f>
        <v>1204.9327739471091</v>
      </c>
      <c r="F30" s="111">
        <f>D30*E30</f>
        <v>-4217.2647088148824</v>
      </c>
      <c r="G30" s="111">
        <f>D30^2</f>
        <v>12.25</v>
      </c>
      <c r="H30" s="112">
        <f>E30^2</f>
        <v>1451862.9897318752</v>
      </c>
      <c r="J30" s="173" t="s">
        <v>124</v>
      </c>
      <c r="K30" s="103">
        <v>1</v>
      </c>
      <c r="L30" s="106">
        <f>AVERAGE(Table3[IF])</f>
        <v>2431.5634002575493</v>
      </c>
      <c r="M30" s="111">
        <f>K30-$B$16</f>
        <v>-3.5</v>
      </c>
      <c r="N30" s="111">
        <f>L30-$C$16</f>
        <v>-1823.3392828339151</v>
      </c>
      <c r="O30" s="111">
        <f>M30*N30</f>
        <v>6381.6874899187032</v>
      </c>
      <c r="P30" s="111">
        <f>M30^2</f>
        <v>12.25</v>
      </c>
      <c r="Q30" s="112">
        <f>N30^2</f>
        <v>3324566.1403252962</v>
      </c>
    </row>
    <row r="31" spans="1:17" ht="14.4" customHeight="1">
      <c r="A31" s="169"/>
      <c r="B31" s="104">
        <v>2</v>
      </c>
      <c r="C31" s="106">
        <f>AVERAGE(Table1[VVS1])</f>
        <v>5174.1435247109312</v>
      </c>
      <c r="D31" s="111">
        <f t="shared" ref="D31:D37" si="10">B31-$B$16</f>
        <v>-2.5</v>
      </c>
      <c r="E31" s="111">
        <f t="shared" ref="E31:E37" si="11">C31-$C$16</f>
        <v>919.24084161946666</v>
      </c>
      <c r="F31" s="111">
        <f t="shared" ref="F31:F37" si="12">D31*E31</f>
        <v>-2298.1021040486667</v>
      </c>
      <c r="G31" s="111">
        <f t="shared" ref="G31:G37" si="13">D31^2</f>
        <v>6.25</v>
      </c>
      <c r="H31" s="112">
        <f t="shared" ref="H31:H37" si="14">E31^2</f>
        <v>845003.72490126535</v>
      </c>
      <c r="J31" s="174"/>
      <c r="K31" s="104">
        <v>2</v>
      </c>
      <c r="L31" s="106">
        <f>AVERAGE(Table3[VVS1])</f>
        <v>1854.6247778253457</v>
      </c>
      <c r="M31" s="111">
        <f t="shared" ref="M31:M37" si="15">K31-$B$16</f>
        <v>-2.5</v>
      </c>
      <c r="N31" s="111">
        <f t="shared" ref="N31:N37" si="16">L31-$C$16</f>
        <v>-2400.277905266119</v>
      </c>
      <c r="O31" s="111">
        <f t="shared" ref="O31:O37" si="17">M31*N31</f>
        <v>6000.6947631652974</v>
      </c>
      <c r="P31" s="111">
        <f t="shared" ref="P31:P37" si="18">M31^2</f>
        <v>6.25</v>
      </c>
      <c r="Q31" s="112">
        <f t="shared" ref="Q31:Q37" si="19">N31^2</f>
        <v>5761334.0225087078</v>
      </c>
    </row>
    <row r="32" spans="1:17" ht="14.4" customHeight="1">
      <c r="A32" s="169"/>
      <c r="B32" s="104">
        <v>3</v>
      </c>
      <c r="C32" s="106">
        <f>AVERAGE(Table1[VVS2])</f>
        <v>4911.2693198072957</v>
      </c>
      <c r="D32" s="111">
        <f t="shared" si="10"/>
        <v>-1.5</v>
      </c>
      <c r="E32" s="111">
        <f t="shared" si="11"/>
        <v>656.36663671583119</v>
      </c>
      <c r="F32" s="111">
        <f t="shared" si="12"/>
        <v>-984.54995507374679</v>
      </c>
      <c r="G32" s="111">
        <f t="shared" si="13"/>
        <v>2.25</v>
      </c>
      <c r="H32" s="112">
        <f t="shared" si="14"/>
        <v>430817.16179365193</v>
      </c>
      <c r="J32" s="174"/>
      <c r="K32" s="104">
        <v>3</v>
      </c>
      <c r="L32" s="106">
        <f>AVERAGE(Table3[VVS2])</f>
        <v>1550.8752572442475</v>
      </c>
      <c r="M32" s="111">
        <f t="shared" si="15"/>
        <v>-1.5</v>
      </c>
      <c r="N32" s="111">
        <f t="shared" si="16"/>
        <v>-2704.0274258472173</v>
      </c>
      <c r="O32" s="111">
        <f t="shared" si="17"/>
        <v>4056.0411387708259</v>
      </c>
      <c r="P32" s="111">
        <f t="shared" si="18"/>
        <v>2.25</v>
      </c>
      <c r="Q32" s="112">
        <f t="shared" si="19"/>
        <v>7311764.319733928</v>
      </c>
    </row>
    <row r="33" spans="1:17" ht="14.4" customHeight="1">
      <c r="A33" s="169"/>
      <c r="B33" s="104">
        <v>4</v>
      </c>
      <c r="C33" s="106">
        <f>AVERAGE(Table1[VS1])</f>
        <v>4173.7354854235418</v>
      </c>
      <c r="D33" s="111">
        <f t="shared" si="10"/>
        <v>-0.5</v>
      </c>
      <c r="E33" s="111">
        <f t="shared" si="11"/>
        <v>-81.167197667922665</v>
      </c>
      <c r="F33" s="111">
        <f t="shared" si="12"/>
        <v>40.583598833961332</v>
      </c>
      <c r="G33" s="111">
        <f t="shared" si="13"/>
        <v>0.25</v>
      </c>
      <c r="H33" s="112">
        <f t="shared" si="14"/>
        <v>6588.1139772636307</v>
      </c>
      <c r="J33" s="174"/>
      <c r="K33" s="104">
        <v>4</v>
      </c>
      <c r="L33" s="106">
        <f>AVERAGE(Table3[VS1])</f>
        <v>1452.4456320957613</v>
      </c>
      <c r="M33" s="111">
        <f t="shared" si="15"/>
        <v>-0.5</v>
      </c>
      <c r="N33" s="111">
        <f t="shared" si="16"/>
        <v>-2802.457050995703</v>
      </c>
      <c r="O33" s="111">
        <f t="shared" si="17"/>
        <v>1401.2285254978515</v>
      </c>
      <c r="P33" s="111">
        <f t="shared" si="18"/>
        <v>0.25</v>
      </c>
      <c r="Q33" s="112">
        <f t="shared" si="19"/>
        <v>7853765.5226755319</v>
      </c>
    </row>
    <row r="34" spans="1:17" ht="14.4" customHeight="1">
      <c r="A34" s="169"/>
      <c r="B34" s="104">
        <v>5</v>
      </c>
      <c r="C34" s="106">
        <f>AVERAGE(Table1[VS2])</f>
        <v>4433.8060857047376</v>
      </c>
      <c r="D34" s="111">
        <f t="shared" si="10"/>
        <v>0.5</v>
      </c>
      <c r="E34" s="111">
        <f t="shared" si="11"/>
        <v>178.9034026132731</v>
      </c>
      <c r="F34" s="111">
        <f t="shared" si="12"/>
        <v>89.451701306636551</v>
      </c>
      <c r="G34" s="111">
        <f t="shared" si="13"/>
        <v>0.25</v>
      </c>
      <c r="H34" s="112">
        <f t="shared" si="14"/>
        <v>32006.427466606892</v>
      </c>
      <c r="J34" s="174"/>
      <c r="K34" s="104">
        <v>5</v>
      </c>
      <c r="L34" s="106">
        <f>AVERAGE(Table3[VS2])</f>
        <v>1195.252942956161</v>
      </c>
      <c r="M34" s="111">
        <f t="shared" si="15"/>
        <v>0.5</v>
      </c>
      <c r="N34" s="111">
        <f t="shared" si="16"/>
        <v>-3059.6497401353035</v>
      </c>
      <c r="O34" s="111">
        <f t="shared" si="17"/>
        <v>-1529.8248700676518</v>
      </c>
      <c r="P34" s="111">
        <f t="shared" si="18"/>
        <v>0.25</v>
      </c>
      <c r="Q34" s="112">
        <f t="shared" si="19"/>
        <v>9361456.5323100314</v>
      </c>
    </row>
    <row r="35" spans="1:17" ht="14.4" customHeight="1">
      <c r="A35" s="169"/>
      <c r="B35" s="104">
        <v>6</v>
      </c>
      <c r="C35" s="106">
        <f>AVERAGE(Table1[SI1])</f>
        <v>3286.7713340844366</v>
      </c>
      <c r="D35" s="111">
        <f t="shared" si="10"/>
        <v>1.5</v>
      </c>
      <c r="E35" s="111">
        <f t="shared" si="11"/>
        <v>-968.13134900702789</v>
      </c>
      <c r="F35" s="111">
        <f t="shared" si="12"/>
        <v>-1452.1970235105418</v>
      </c>
      <c r="G35" s="111">
        <f t="shared" si="13"/>
        <v>2.25</v>
      </c>
      <c r="H35" s="112">
        <f t="shared" si="14"/>
        <v>937278.3089301677</v>
      </c>
      <c r="J35" s="174"/>
      <c r="K35" s="104">
        <v>6</v>
      </c>
      <c r="L35" s="106">
        <f>AVERAGE(Table3[SI1])</f>
        <v>1028.1611027933984</v>
      </c>
      <c r="M35" s="111">
        <f t="shared" si="15"/>
        <v>1.5</v>
      </c>
      <c r="N35" s="111">
        <f t="shared" si="16"/>
        <v>-3226.7415802980659</v>
      </c>
      <c r="O35" s="111">
        <f t="shared" si="17"/>
        <v>-4840.1123704470992</v>
      </c>
      <c r="P35" s="111">
        <f t="shared" si="18"/>
        <v>2.25</v>
      </c>
      <c r="Q35" s="112">
        <f t="shared" si="19"/>
        <v>10411861.22602446</v>
      </c>
    </row>
    <row r="36" spans="1:17" ht="14.4" customHeight="1">
      <c r="A36" s="169"/>
      <c r="B36" s="104">
        <v>7</v>
      </c>
      <c r="C36" s="106">
        <f>AVERAGE(Table1[SI2])</f>
        <v>2344.7575748707372</v>
      </c>
      <c r="D36" s="113">
        <f t="shared" si="10"/>
        <v>2.5</v>
      </c>
      <c r="E36" s="111">
        <f t="shared" si="11"/>
        <v>-1910.1451082207273</v>
      </c>
      <c r="F36" s="111">
        <f t="shared" si="12"/>
        <v>-4775.3627705518184</v>
      </c>
      <c r="G36" s="111">
        <f t="shared" si="13"/>
        <v>6.25</v>
      </c>
      <c r="H36" s="112">
        <f t="shared" si="14"/>
        <v>3648654.334459574</v>
      </c>
      <c r="J36" s="174"/>
      <c r="K36" s="104">
        <v>7</v>
      </c>
      <c r="L36" s="106">
        <f>AVERAGE(Table3[SI2])</f>
        <v>1129.7237844815807</v>
      </c>
      <c r="M36" s="113">
        <f t="shared" si="15"/>
        <v>2.5</v>
      </c>
      <c r="N36" s="111">
        <f t="shared" si="16"/>
        <v>-3125.1788986098836</v>
      </c>
      <c r="O36" s="111">
        <f t="shared" si="17"/>
        <v>-7812.947246524709</v>
      </c>
      <c r="P36" s="111">
        <f t="shared" si="18"/>
        <v>6.25</v>
      </c>
      <c r="Q36" s="112">
        <f t="shared" si="19"/>
        <v>9766743.1483164858</v>
      </c>
    </row>
    <row r="37" spans="1:17" ht="15" customHeight="1" thickBot="1">
      <c r="A37" s="170"/>
      <c r="B37" s="105"/>
      <c r="C37" s="106"/>
      <c r="D37" s="114">
        <f t="shared" si="10"/>
        <v>-4.5</v>
      </c>
      <c r="E37" s="115">
        <f t="shared" si="11"/>
        <v>-4254.9026830914645</v>
      </c>
      <c r="F37" s="115">
        <f t="shared" si="12"/>
        <v>19147.062073911591</v>
      </c>
      <c r="G37" s="115">
        <f t="shared" si="13"/>
        <v>20.25</v>
      </c>
      <c r="H37" s="116">
        <f t="shared" si="14"/>
        <v>18104196.842578944</v>
      </c>
      <c r="J37" s="175"/>
      <c r="K37" s="105"/>
      <c r="L37" s="106"/>
      <c r="M37" s="114">
        <f t="shared" si="15"/>
        <v>-4.5</v>
      </c>
      <c r="N37" s="115">
        <f t="shared" si="16"/>
        <v>-4254.9026830914645</v>
      </c>
      <c r="O37" s="115">
        <f t="shared" si="17"/>
        <v>19147.062073911591</v>
      </c>
      <c r="P37" s="115">
        <f t="shared" si="18"/>
        <v>20.25</v>
      </c>
      <c r="Q37" s="116">
        <f t="shared" si="19"/>
        <v>18104196.842578944</v>
      </c>
    </row>
    <row r="38" spans="1:17">
      <c r="A38" s="89" t="s">
        <v>77</v>
      </c>
      <c r="B38" s="90">
        <f>AVERAGE(B30:B37)</f>
        <v>4</v>
      </c>
      <c r="C38" s="108">
        <f>AVERAGE(C30:C37)</f>
        <v>4254.9026830914654</v>
      </c>
      <c r="D38" s="110"/>
      <c r="J38" s="89" t="s">
        <v>77</v>
      </c>
      <c r="K38" s="90">
        <f>AVERAGE(K30:K37)</f>
        <v>4</v>
      </c>
      <c r="L38" s="108">
        <f>AVERAGE(L30:L37)</f>
        <v>1520.378128236292</v>
      </c>
      <c r="M38" s="110"/>
    </row>
    <row r="39" spans="1:17" ht="15" thickBot="1">
      <c r="A39" s="91" t="s">
        <v>112</v>
      </c>
      <c r="B39" s="92">
        <f>_xlfn.STDEV.S(B30:B37)</f>
        <v>2.1602468994692869</v>
      </c>
      <c r="C39" s="109">
        <f>_xlfn.STDEV.S(C30:C37)</f>
        <v>1106.9636444843434</v>
      </c>
      <c r="D39" s="110"/>
      <c r="J39" s="91" t="s">
        <v>112</v>
      </c>
      <c r="K39" s="92">
        <f>_xlfn.STDEV.S(K30:K37)</f>
        <v>2.1602468994692869</v>
      </c>
      <c r="L39" s="109">
        <f>_xlfn.STDEV.S(L30:L37)</f>
        <v>491.27709834560824</v>
      </c>
      <c r="M39" s="110"/>
    </row>
    <row r="40" spans="1:17" ht="15.6">
      <c r="A40" s="94"/>
      <c r="B40" s="120"/>
      <c r="C40" s="95"/>
      <c r="D40" s="93"/>
      <c r="J40" s="94"/>
      <c r="K40" s="120"/>
      <c r="L40" s="95"/>
      <c r="M40" s="93"/>
    </row>
    <row r="41" spans="1:17" ht="15.6">
      <c r="A41" s="94" t="s">
        <v>113</v>
      </c>
      <c r="B41" s="120">
        <f>_xlfn.COVARIANCE.S(B30:B37,C30:C37)</f>
        <v>-2266.240210309843</v>
      </c>
      <c r="C41" s="97" t="s">
        <v>114</v>
      </c>
      <c r="D41" s="117"/>
      <c r="J41" s="94" t="s">
        <v>113</v>
      </c>
      <c r="K41" s="120">
        <f>_xlfn.COVARIANCE.S(K30:K37,L30:L37)</f>
        <v>-985.67808527998113</v>
      </c>
      <c r="L41" s="97" t="s">
        <v>114</v>
      </c>
      <c r="M41" s="117"/>
    </row>
    <row r="42" spans="1:17" ht="15.6">
      <c r="A42" s="94" t="s">
        <v>115</v>
      </c>
      <c r="B42" s="120">
        <f>_xlfn.STDEV.S(B30:B37)</f>
        <v>2.1602468994692869</v>
      </c>
      <c r="C42" s="118" t="s">
        <v>116</v>
      </c>
      <c r="D42" s="119"/>
      <c r="J42" s="94" t="s">
        <v>115</v>
      </c>
      <c r="K42" s="120">
        <f>_xlfn.STDEV.S(K30:K37)</f>
        <v>2.1602468994692869</v>
      </c>
      <c r="L42" s="118" t="s">
        <v>116</v>
      </c>
      <c r="M42" s="119"/>
    </row>
    <row r="43" spans="1:17" ht="15.6">
      <c r="A43" s="94" t="s">
        <v>117</v>
      </c>
      <c r="B43" s="120">
        <f>_xlfn.STDEV.S(C30:C37)</f>
        <v>1106.9636444843434</v>
      </c>
      <c r="C43" s="118" t="s">
        <v>118</v>
      </c>
      <c r="D43" s="119"/>
      <c r="J43" s="94" t="s">
        <v>117</v>
      </c>
      <c r="K43" s="120">
        <f>_xlfn.STDEV.S(L30:L37)</f>
        <v>491.27709834560824</v>
      </c>
      <c r="L43" s="118" t="s">
        <v>118</v>
      </c>
      <c r="M43" s="119"/>
    </row>
    <row r="44" spans="1:17" ht="15.6">
      <c r="A44" s="94"/>
      <c r="B44" s="120"/>
      <c r="C44" s="97"/>
      <c r="D44" s="117"/>
      <c r="J44" s="94"/>
      <c r="K44" s="120"/>
      <c r="L44" s="97"/>
      <c r="M44" s="117"/>
    </row>
    <row r="45" spans="1:17" ht="16.2">
      <c r="A45" s="96" t="s">
        <v>119</v>
      </c>
      <c r="B45" s="120">
        <f>B41/(B42*B43)</f>
        <v>-0.94769631688988232</v>
      </c>
      <c r="C45" s="97" t="s">
        <v>120</v>
      </c>
      <c r="D45" s="117"/>
      <c r="J45" s="96" t="s">
        <v>119</v>
      </c>
      <c r="K45" s="120">
        <f>K41/(K42*K43)</f>
        <v>-0.92876361052714163</v>
      </c>
      <c r="L45" s="97" t="s">
        <v>120</v>
      </c>
      <c r="M45" s="117"/>
    </row>
    <row r="46" spans="1:17">
      <c r="A46" s="98"/>
      <c r="B46" s="120"/>
      <c r="C46" s="95"/>
      <c r="D46" s="93"/>
      <c r="J46" s="98"/>
      <c r="K46" s="120"/>
      <c r="L46" s="95"/>
      <c r="M46" s="93"/>
    </row>
    <row r="47" spans="1:17" ht="16.2" thickBot="1">
      <c r="A47" s="99" t="s">
        <v>121</v>
      </c>
      <c r="B47" s="121">
        <f>CORREL(B30:B37,C30:C37)</f>
        <v>-0.94769631688987943</v>
      </c>
      <c r="C47" s="100"/>
      <c r="D47" s="101"/>
      <c r="J47" s="99" t="s">
        <v>121</v>
      </c>
      <c r="K47" s="121">
        <f>CORREL(K30:K37,L30:L37)</f>
        <v>-0.92876361052714085</v>
      </c>
      <c r="L47" s="100"/>
      <c r="M47" s="101"/>
    </row>
  </sheetData>
  <mergeCells count="28">
    <mergeCell ref="P6:P7"/>
    <mergeCell ref="Q6:Q7"/>
    <mergeCell ref="M28:M29"/>
    <mergeCell ref="N28:N29"/>
    <mergeCell ref="O28:O29"/>
    <mergeCell ref="P28:P29"/>
    <mergeCell ref="Q28:Q29"/>
    <mergeCell ref="G28:G29"/>
    <mergeCell ref="H28:H29"/>
    <mergeCell ref="M6:M7"/>
    <mergeCell ref="N6:N7"/>
    <mergeCell ref="O6:O7"/>
    <mergeCell ref="A30:A37"/>
    <mergeCell ref="J28:J29"/>
    <mergeCell ref="J30:J37"/>
    <mergeCell ref="A6:A7"/>
    <mergeCell ref="D6:D7"/>
    <mergeCell ref="E6:E7"/>
    <mergeCell ref="F6:F7"/>
    <mergeCell ref="G6:G7"/>
    <mergeCell ref="H6:H7"/>
    <mergeCell ref="A8:A15"/>
    <mergeCell ref="J6:J7"/>
    <mergeCell ref="J8:J15"/>
    <mergeCell ref="A28:A29"/>
    <mergeCell ref="D28:D29"/>
    <mergeCell ref="E28:E29"/>
    <mergeCell ref="F28:F2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EDB12-9BD1-4BD9-BD5D-C904A9B32157}">
  <sheetPr codeName="Sheet7">
    <pageSetUpPr fitToPage="1"/>
  </sheetPr>
  <dimension ref="A1:N34"/>
  <sheetViews>
    <sheetView zoomScale="90" zoomScaleNormal="90" workbookViewId="0">
      <selection activeCell="K22" sqref="K22"/>
    </sheetView>
  </sheetViews>
  <sheetFormatPr defaultRowHeight="14.4"/>
  <cols>
    <col min="1" max="1" width="8.88671875" style="36"/>
    <col min="2" max="2" width="8.88671875" style="20"/>
    <col min="3" max="3" width="10.44140625" style="20" customWidth="1"/>
    <col min="5" max="5" width="21.6640625" bestFit="1" customWidth="1"/>
    <col min="6" max="6" width="12.109375" bestFit="1" customWidth="1"/>
    <col min="7" max="7" width="3.88671875" customWidth="1"/>
    <col min="8" max="8" width="4.44140625" customWidth="1"/>
    <col min="9" max="9" width="10.109375" customWidth="1"/>
    <col min="10" max="10" width="10.44140625" customWidth="1"/>
    <col min="11" max="11" width="13.5546875" customWidth="1"/>
    <col min="12" max="12" width="9.5546875" customWidth="1"/>
    <col min="13" max="13" width="21.6640625" bestFit="1" customWidth="1"/>
    <col min="14" max="14" width="12" bestFit="1" customWidth="1"/>
  </cols>
  <sheetData>
    <row r="1" spans="1:14" ht="15" thickBot="1">
      <c r="A1" s="182" t="s">
        <v>94</v>
      </c>
      <c r="B1" s="182"/>
      <c r="C1" s="182"/>
      <c r="D1" s="182"/>
      <c r="E1" s="182"/>
      <c r="F1" s="182"/>
      <c r="G1" s="36"/>
      <c r="I1" s="182" t="s">
        <v>93</v>
      </c>
      <c r="J1" s="182"/>
      <c r="K1" s="182"/>
      <c r="L1" s="182"/>
      <c r="M1" s="182"/>
      <c r="N1" s="182"/>
    </row>
    <row r="2" spans="1:14" ht="15" thickBot="1">
      <c r="A2" s="43" t="s">
        <v>75</v>
      </c>
      <c r="B2" s="44" t="s">
        <v>76</v>
      </c>
      <c r="C2" s="44" t="s">
        <v>8</v>
      </c>
      <c r="E2" s="122" t="s">
        <v>8</v>
      </c>
      <c r="F2" s="35"/>
      <c r="G2" s="38"/>
      <c r="H2" s="38"/>
      <c r="I2" s="43" t="s">
        <v>75</v>
      </c>
      <c r="J2" s="44" t="s">
        <v>76</v>
      </c>
      <c r="K2" s="44" t="s">
        <v>8</v>
      </c>
      <c r="M2" s="122" t="s">
        <v>8</v>
      </c>
      <c r="N2" s="122"/>
    </row>
    <row r="3" spans="1:14">
      <c r="A3" s="36">
        <v>6513</v>
      </c>
      <c r="B3" s="20">
        <v>1.01</v>
      </c>
      <c r="C3" s="20">
        <f>A3/B3</f>
        <v>6448.514851485148</v>
      </c>
      <c r="I3" s="36">
        <v>2817</v>
      </c>
      <c r="J3" s="20">
        <v>1.19</v>
      </c>
      <c r="K3" s="20">
        <f>I3/J3</f>
        <v>2367.2268907563025</v>
      </c>
    </row>
    <row r="4" spans="1:14">
      <c r="A4" s="36">
        <v>6173</v>
      </c>
      <c r="B4" s="20">
        <v>1</v>
      </c>
      <c r="C4" s="20">
        <f t="shared" ref="C4:C32" si="0">A4/B4</f>
        <v>6173</v>
      </c>
      <c r="E4" s="41" t="s">
        <v>77</v>
      </c>
      <c r="F4" s="41">
        <v>8966.2061237569033</v>
      </c>
      <c r="I4" s="36">
        <v>2272</v>
      </c>
      <c r="J4" s="20">
        <v>1.07</v>
      </c>
      <c r="K4" s="20">
        <f t="shared" ref="K4:K32" si="1">I4/J4</f>
        <v>2123.3644859813085</v>
      </c>
      <c r="M4" s="41" t="s">
        <v>77</v>
      </c>
      <c r="N4" s="41">
        <v>2737.7262291325146</v>
      </c>
    </row>
    <row r="5" spans="1:14">
      <c r="A5" s="36">
        <v>6489</v>
      </c>
      <c r="B5" s="20">
        <v>1.01</v>
      </c>
      <c r="C5" s="20">
        <f t="shared" si="0"/>
        <v>6424.7524752475247</v>
      </c>
      <c r="E5" t="s">
        <v>74</v>
      </c>
      <c r="F5">
        <v>331.93718022714302</v>
      </c>
      <c r="I5" s="36">
        <v>2301</v>
      </c>
      <c r="J5" s="20">
        <v>1.08</v>
      </c>
      <c r="K5" s="20">
        <f t="shared" si="1"/>
        <v>2130.5555555555552</v>
      </c>
      <c r="M5" t="s">
        <v>74</v>
      </c>
      <c r="N5">
        <v>109.75688912111166</v>
      </c>
    </row>
    <row r="6" spans="1:14">
      <c r="A6" s="36">
        <v>6537</v>
      </c>
      <c r="B6" s="20">
        <v>1</v>
      </c>
      <c r="C6" s="20">
        <f t="shared" si="0"/>
        <v>6537</v>
      </c>
      <c r="E6" t="s">
        <v>78</v>
      </c>
      <c r="F6">
        <v>9364.5476190476184</v>
      </c>
      <c r="I6" s="36">
        <v>2362</v>
      </c>
      <c r="J6" s="20">
        <v>1.05</v>
      </c>
      <c r="K6" s="20">
        <f t="shared" si="1"/>
        <v>2249.5238095238096</v>
      </c>
      <c r="M6" t="s">
        <v>78</v>
      </c>
      <c r="N6">
        <v>2663.5459134148705</v>
      </c>
    </row>
    <row r="7" spans="1:14">
      <c r="A7" s="36">
        <v>6899</v>
      </c>
      <c r="B7" s="20">
        <v>1.02</v>
      </c>
      <c r="C7" s="20">
        <f t="shared" si="0"/>
        <v>6763.7254901960787</v>
      </c>
      <c r="E7" t="s">
        <v>79</v>
      </c>
      <c r="F7" t="e">
        <v>#N/A</v>
      </c>
      <c r="I7" s="36">
        <v>2386</v>
      </c>
      <c r="J7" s="20">
        <v>1.1200000000000001</v>
      </c>
      <c r="K7" s="20">
        <f t="shared" si="1"/>
        <v>2130.3571428571427</v>
      </c>
      <c r="M7" t="s">
        <v>79</v>
      </c>
      <c r="N7">
        <v>2871.2871287128714</v>
      </c>
    </row>
    <row r="8" spans="1:14">
      <c r="A8" s="36">
        <v>7088</v>
      </c>
      <c r="B8" s="20">
        <v>1.05</v>
      </c>
      <c r="C8" s="20">
        <f t="shared" si="0"/>
        <v>6750.4761904761899</v>
      </c>
      <c r="E8" t="s">
        <v>80</v>
      </c>
      <c r="F8">
        <v>1818.0948128506404</v>
      </c>
      <c r="I8" s="36">
        <v>2490</v>
      </c>
      <c r="J8" s="20">
        <v>1.04</v>
      </c>
      <c r="K8" s="20">
        <f t="shared" si="1"/>
        <v>2394.2307692307691</v>
      </c>
      <c r="M8" t="s">
        <v>80</v>
      </c>
      <c r="N8">
        <v>601.16324013226222</v>
      </c>
    </row>
    <row r="9" spans="1:14">
      <c r="A9" s="36">
        <v>7246</v>
      </c>
      <c r="B9" s="20">
        <v>1.01</v>
      </c>
      <c r="C9" s="20">
        <f t="shared" si="0"/>
        <v>7174.257425742574</v>
      </c>
      <c r="E9" t="s">
        <v>81</v>
      </c>
      <c r="F9">
        <v>3305468.7485144055</v>
      </c>
      <c r="I9" s="36">
        <v>2532</v>
      </c>
      <c r="J9" s="20">
        <v>1.06</v>
      </c>
      <c r="K9" s="20">
        <f t="shared" si="1"/>
        <v>2388.6792452830186</v>
      </c>
      <c r="M9" t="s">
        <v>81</v>
      </c>
      <c r="N9">
        <v>361397.24128631991</v>
      </c>
    </row>
    <row r="10" spans="1:14">
      <c r="A10" s="36">
        <v>7307</v>
      </c>
      <c r="B10" s="20">
        <v>1.01</v>
      </c>
      <c r="C10" s="20">
        <f t="shared" si="0"/>
        <v>7234.6534653465342</v>
      </c>
      <c r="E10" t="s">
        <v>82</v>
      </c>
      <c r="F10">
        <v>-1.1659567536935094</v>
      </c>
      <c r="I10" s="36">
        <v>2533</v>
      </c>
      <c r="J10" s="20">
        <v>1.1000000000000001</v>
      </c>
      <c r="K10" s="20">
        <f t="shared" si="1"/>
        <v>2302.7272727272725</v>
      </c>
      <c r="M10" t="s">
        <v>82</v>
      </c>
      <c r="N10">
        <v>6.7494947999950501</v>
      </c>
    </row>
    <row r="11" spans="1:14">
      <c r="A11" s="36">
        <v>7367</v>
      </c>
      <c r="B11" s="20">
        <v>1.01</v>
      </c>
      <c r="C11" s="20">
        <f t="shared" si="0"/>
        <v>7294.0594059405939</v>
      </c>
      <c r="E11" t="s">
        <v>83</v>
      </c>
      <c r="F11">
        <v>2.1658249849944314E-2</v>
      </c>
      <c r="I11" s="36">
        <v>2553</v>
      </c>
      <c r="J11" s="20">
        <v>1.07</v>
      </c>
      <c r="K11" s="20">
        <f t="shared" si="1"/>
        <v>2385.9813084112147</v>
      </c>
      <c r="M11" t="s">
        <v>83</v>
      </c>
      <c r="N11">
        <v>2.2930747150354924</v>
      </c>
    </row>
    <row r="12" spans="1:14">
      <c r="A12" s="36">
        <v>7713</v>
      </c>
      <c r="B12" s="20">
        <v>1.05</v>
      </c>
      <c r="C12" s="20">
        <f t="shared" si="0"/>
        <v>7345.7142857142853</v>
      </c>
      <c r="E12" t="s">
        <v>84</v>
      </c>
      <c r="F12">
        <v>5938.4503816793895</v>
      </c>
      <c r="I12" s="36">
        <v>2658</v>
      </c>
      <c r="J12" s="20">
        <v>1.1200000000000001</v>
      </c>
      <c r="K12" s="20">
        <f t="shared" si="1"/>
        <v>2373.2142857142853</v>
      </c>
      <c r="M12" t="s">
        <v>84</v>
      </c>
      <c r="N12">
        <v>2878.2228156059928</v>
      </c>
    </row>
    <row r="13" spans="1:14">
      <c r="A13" s="36">
        <v>8245</v>
      </c>
      <c r="B13" s="20">
        <v>1</v>
      </c>
      <c r="C13" s="20">
        <f t="shared" si="0"/>
        <v>8245</v>
      </c>
      <c r="E13" t="s">
        <v>85</v>
      </c>
      <c r="F13">
        <v>6173</v>
      </c>
      <c r="I13" s="36">
        <v>2663</v>
      </c>
      <c r="J13" s="20">
        <v>1</v>
      </c>
      <c r="K13" s="20">
        <f t="shared" si="1"/>
        <v>2663</v>
      </c>
      <c r="M13" t="s">
        <v>85</v>
      </c>
      <c r="N13">
        <v>2123.3644859813085</v>
      </c>
    </row>
    <row r="14" spans="1:14">
      <c r="A14" s="36">
        <v>8766</v>
      </c>
      <c r="B14" s="20">
        <v>1</v>
      </c>
      <c r="C14" s="20">
        <f t="shared" si="0"/>
        <v>8766</v>
      </c>
      <c r="E14" t="s">
        <v>86</v>
      </c>
      <c r="F14">
        <v>12111.450381679389</v>
      </c>
      <c r="I14" s="36">
        <v>2682</v>
      </c>
      <c r="J14" s="20">
        <v>1.2</v>
      </c>
      <c r="K14" s="20">
        <f t="shared" si="1"/>
        <v>2235</v>
      </c>
      <c r="M14" t="s">
        <v>86</v>
      </c>
      <c r="N14">
        <v>5001.5873015873012</v>
      </c>
    </row>
    <row r="15" spans="1:14">
      <c r="A15" s="36">
        <v>9045</v>
      </c>
      <c r="B15" s="20">
        <v>1.02</v>
      </c>
      <c r="C15" s="20">
        <f t="shared" si="0"/>
        <v>8867.6470588235297</v>
      </c>
      <c r="E15" t="s">
        <v>87</v>
      </c>
      <c r="F15">
        <v>268986.18371270708</v>
      </c>
      <c r="I15" s="36">
        <v>2690</v>
      </c>
      <c r="J15" s="20">
        <v>1.01</v>
      </c>
      <c r="K15" s="20">
        <f t="shared" si="1"/>
        <v>2663.3663366336632</v>
      </c>
      <c r="M15" t="s">
        <v>87</v>
      </c>
      <c r="N15">
        <v>82131.786873975434</v>
      </c>
    </row>
    <row r="16" spans="1:14">
      <c r="A16" s="36">
        <v>9371</v>
      </c>
      <c r="B16" s="20">
        <v>1</v>
      </c>
      <c r="C16" s="20">
        <f t="shared" si="0"/>
        <v>9371</v>
      </c>
      <c r="E16" t="s">
        <v>88</v>
      </c>
      <c r="F16">
        <v>30</v>
      </c>
      <c r="I16" s="36">
        <v>2717</v>
      </c>
      <c r="J16" s="20">
        <v>1.02</v>
      </c>
      <c r="K16" s="20">
        <f t="shared" si="1"/>
        <v>2663.7254901960782</v>
      </c>
      <c r="M16" t="s">
        <v>88</v>
      </c>
      <c r="N16">
        <v>30</v>
      </c>
    </row>
    <row r="17" spans="1:14" ht="15" thickBot="1">
      <c r="A17" s="36">
        <v>9526</v>
      </c>
      <c r="B17" s="20">
        <v>1.01</v>
      </c>
      <c r="C17" s="20">
        <f t="shared" si="0"/>
        <v>9431.6831683168311</v>
      </c>
      <c r="E17" s="40" t="s">
        <v>89</v>
      </c>
      <c r="F17" s="40">
        <v>678.88776032649844</v>
      </c>
      <c r="I17" s="36">
        <v>2786</v>
      </c>
      <c r="J17" s="20">
        <v>1.1100000000000001</v>
      </c>
      <c r="K17" s="20">
        <f t="shared" si="1"/>
        <v>2509.9099099099099</v>
      </c>
      <c r="M17" s="40" t="s">
        <v>89</v>
      </c>
      <c r="N17" s="40">
        <v>224.47804305877</v>
      </c>
    </row>
    <row r="18" spans="1:14">
      <c r="A18" s="36">
        <v>9577</v>
      </c>
      <c r="B18" s="20">
        <v>1.01</v>
      </c>
      <c r="C18" s="20">
        <f t="shared" si="0"/>
        <v>9482.1782178217818</v>
      </c>
      <c r="I18" s="36">
        <v>2811</v>
      </c>
      <c r="J18" s="20">
        <v>1</v>
      </c>
      <c r="K18" s="20">
        <f t="shared" si="1"/>
        <v>2811</v>
      </c>
    </row>
    <row r="19" spans="1:14">
      <c r="A19" s="36">
        <v>9826</v>
      </c>
      <c r="B19" s="20">
        <v>1.05</v>
      </c>
      <c r="C19" s="20">
        <f t="shared" si="0"/>
        <v>9358.0952380952385</v>
      </c>
      <c r="E19" s="41" t="s">
        <v>77</v>
      </c>
      <c r="F19" s="42">
        <f>F4</f>
        <v>8966.2061237569033</v>
      </c>
      <c r="I19" s="36">
        <v>2878</v>
      </c>
      <c r="J19" s="20">
        <v>1.2</v>
      </c>
      <c r="K19" s="20">
        <f t="shared" si="1"/>
        <v>2398.3333333333335</v>
      </c>
      <c r="M19" s="41" t="s">
        <v>77</v>
      </c>
      <c r="N19" s="42">
        <f>N4</f>
        <v>2737.7262291325146</v>
      </c>
    </row>
    <row r="20" spans="1:14">
      <c r="A20" s="36">
        <v>9955</v>
      </c>
      <c r="B20" s="20">
        <v>1</v>
      </c>
      <c r="C20" s="20">
        <f t="shared" si="0"/>
        <v>9955</v>
      </c>
      <c r="E20" s="41" t="s">
        <v>91</v>
      </c>
      <c r="F20" s="42">
        <f>F19-F17</f>
        <v>8287.3183634304041</v>
      </c>
      <c r="I20" s="36">
        <v>2892</v>
      </c>
      <c r="J20" s="20">
        <v>1</v>
      </c>
      <c r="K20" s="20">
        <f t="shared" si="1"/>
        <v>2892</v>
      </c>
      <c r="M20" s="41" t="s">
        <v>91</v>
      </c>
      <c r="N20" s="42">
        <f>N19-N17</f>
        <v>2513.2481860737448</v>
      </c>
    </row>
    <row r="21" spans="1:14">
      <c r="A21" s="36">
        <v>10000</v>
      </c>
      <c r="B21" s="20">
        <v>1.02</v>
      </c>
      <c r="C21" s="20">
        <f t="shared" si="0"/>
        <v>9803.9215686274511</v>
      </c>
      <c r="E21" s="41" t="s">
        <v>92</v>
      </c>
      <c r="F21" s="42">
        <f>F19+F17</f>
        <v>9645.0938840834024</v>
      </c>
      <c r="I21" s="36">
        <v>2900</v>
      </c>
      <c r="J21" s="20">
        <v>1.01</v>
      </c>
      <c r="K21" s="20">
        <f t="shared" si="1"/>
        <v>2871.2871287128714</v>
      </c>
      <c r="M21" s="41" t="s">
        <v>92</v>
      </c>
      <c r="N21" s="42">
        <f>N19+N17</f>
        <v>2962.2042721912844</v>
      </c>
    </row>
    <row r="22" spans="1:14">
      <c r="A22" s="36">
        <v>10189</v>
      </c>
      <c r="B22" s="20">
        <v>1.21</v>
      </c>
      <c r="C22" s="20">
        <f t="shared" si="0"/>
        <v>8420.6611570247933</v>
      </c>
      <c r="I22" s="36">
        <v>2920</v>
      </c>
      <c r="J22" s="20">
        <v>1.01</v>
      </c>
      <c r="K22" s="20">
        <f t="shared" si="1"/>
        <v>2891.0891089108909</v>
      </c>
    </row>
    <row r="23" spans="1:14">
      <c r="A23" s="36">
        <v>10699</v>
      </c>
      <c r="B23" s="20">
        <v>1.01</v>
      </c>
      <c r="C23" s="20">
        <f t="shared" si="0"/>
        <v>10593.069306930693</v>
      </c>
      <c r="I23" s="36">
        <v>2973</v>
      </c>
      <c r="J23" s="20">
        <v>1.02</v>
      </c>
      <c r="K23" s="20">
        <f t="shared" si="1"/>
        <v>2914.705882352941</v>
      </c>
    </row>
    <row r="24" spans="1:14">
      <c r="A24" s="36">
        <v>10385</v>
      </c>
      <c r="B24" s="20">
        <v>1.07</v>
      </c>
      <c r="C24" s="20">
        <f t="shared" si="0"/>
        <v>9705.6074766355141</v>
      </c>
      <c r="I24" s="36">
        <v>2980</v>
      </c>
      <c r="J24" s="20">
        <v>1.06</v>
      </c>
      <c r="K24" s="20">
        <f t="shared" si="1"/>
        <v>2811.3207547169809</v>
      </c>
    </row>
    <row r="25" spans="1:14">
      <c r="A25" s="36">
        <v>11099</v>
      </c>
      <c r="B25" s="20">
        <v>1.05</v>
      </c>
      <c r="C25" s="20">
        <f t="shared" si="0"/>
        <v>10570.476190476191</v>
      </c>
      <c r="I25" s="36">
        <v>3092</v>
      </c>
      <c r="J25" s="20">
        <v>1.1000000000000001</v>
      </c>
      <c r="K25" s="20">
        <f t="shared" si="1"/>
        <v>2810.9090909090905</v>
      </c>
    </row>
    <row r="26" spans="1:14">
      <c r="A26" s="36">
        <v>11514</v>
      </c>
      <c r="B26" s="20">
        <v>1.2</v>
      </c>
      <c r="C26" s="20">
        <f t="shared" si="0"/>
        <v>9595</v>
      </c>
      <c r="I26" s="36">
        <v>3122</v>
      </c>
      <c r="J26" s="20">
        <v>1.1200000000000001</v>
      </c>
      <c r="K26" s="20">
        <f t="shared" si="1"/>
        <v>2787.4999999999995</v>
      </c>
    </row>
    <row r="27" spans="1:14">
      <c r="A27" s="36">
        <v>12905</v>
      </c>
      <c r="B27" s="20">
        <v>1.2</v>
      </c>
      <c r="C27" s="20">
        <f t="shared" si="0"/>
        <v>10754.166666666668</v>
      </c>
      <c r="I27" s="36">
        <v>3420</v>
      </c>
      <c r="J27" s="20">
        <v>1.07</v>
      </c>
      <c r="K27" s="20">
        <f t="shared" si="1"/>
        <v>3196.2616822429904</v>
      </c>
    </row>
    <row r="28" spans="1:14">
      <c r="A28" s="36">
        <v>13153</v>
      </c>
      <c r="B28" s="20">
        <v>1.21</v>
      </c>
      <c r="C28" s="20">
        <f t="shared" si="0"/>
        <v>10870.247933884299</v>
      </c>
      <c r="I28" s="36">
        <v>3617</v>
      </c>
      <c r="J28" s="20">
        <v>1.31</v>
      </c>
      <c r="K28" s="20">
        <f t="shared" si="1"/>
        <v>2761.0687022900761</v>
      </c>
    </row>
    <row r="29" spans="1:14">
      <c r="A29" s="36">
        <v>13659</v>
      </c>
      <c r="B29" s="20">
        <v>1.21</v>
      </c>
      <c r="C29" s="20">
        <f t="shared" si="0"/>
        <v>11288.429752066117</v>
      </c>
      <c r="I29" s="36">
        <v>4068</v>
      </c>
      <c r="J29" s="20">
        <v>1.2</v>
      </c>
      <c r="K29" s="20">
        <f t="shared" si="1"/>
        <v>3390</v>
      </c>
    </row>
    <row r="30" spans="1:14">
      <c r="A30" s="36">
        <v>14281</v>
      </c>
      <c r="B30" s="20">
        <v>1.21</v>
      </c>
      <c r="C30" s="20">
        <f t="shared" si="0"/>
        <v>11802.479338842975</v>
      </c>
      <c r="I30" s="36">
        <v>4184</v>
      </c>
      <c r="J30" s="20">
        <v>1.01</v>
      </c>
      <c r="K30" s="20">
        <f t="shared" si="1"/>
        <v>4142.5742574257429</v>
      </c>
    </row>
    <row r="31" spans="1:14">
      <c r="A31" s="36">
        <v>15866</v>
      </c>
      <c r="B31" s="20">
        <v>1.31</v>
      </c>
      <c r="C31" s="20">
        <f t="shared" si="0"/>
        <v>12111.450381679389</v>
      </c>
      <c r="I31" s="36">
        <v>2900</v>
      </c>
      <c r="J31" s="20">
        <v>1.01</v>
      </c>
      <c r="K31" s="20">
        <f t="shared" si="1"/>
        <v>2871.2871287128714</v>
      </c>
    </row>
    <row r="32" spans="1:14">
      <c r="A32" s="36">
        <v>17061</v>
      </c>
      <c r="B32" s="20">
        <v>1.44</v>
      </c>
      <c r="C32" s="20">
        <f t="shared" si="0"/>
        <v>11847.916666666668</v>
      </c>
      <c r="I32" s="36">
        <v>6302</v>
      </c>
      <c r="J32" s="20">
        <v>1.26</v>
      </c>
      <c r="K32" s="20">
        <f t="shared" si="1"/>
        <v>5001.5873015873012</v>
      </c>
    </row>
    <row r="34" spans="2:11">
      <c r="B34" s="37" t="s">
        <v>90</v>
      </c>
      <c r="C34" s="39">
        <f>AVERAGE(C3:C32)</f>
        <v>8966.2061237569033</v>
      </c>
      <c r="J34" s="37" t="s">
        <v>90</v>
      </c>
      <c r="K34" s="39">
        <f>AVERAGE(K3:K32)</f>
        <v>2737.7262291325146</v>
      </c>
    </row>
  </sheetData>
  <mergeCells count="2">
    <mergeCell ref="A1:F1"/>
    <mergeCell ref="I1:N1"/>
  </mergeCells>
  <pageMargins left="0.7" right="0.7" top="0.75" bottom="0.75" header="0.3" footer="0.3"/>
  <pageSetup scale="78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7928C-DB1F-479F-808D-10C41B77BC2E}">
  <sheetPr codeName="Sheet13"/>
  <dimension ref="A2:BI72"/>
  <sheetViews>
    <sheetView zoomScale="36" zoomScaleNormal="58" zoomScalePageLayoutView="34" workbookViewId="0">
      <selection activeCell="B44" sqref="B44"/>
    </sheetView>
  </sheetViews>
  <sheetFormatPr defaultRowHeight="18"/>
  <cols>
    <col min="1" max="1" width="3.77734375" style="132" bestFit="1" customWidth="1"/>
    <col min="2" max="8" width="14.6640625" style="133" bestFit="1" customWidth="1"/>
    <col min="9" max="18" width="8.88671875" style="45"/>
    <col min="19" max="19" width="5.44140625" style="45" bestFit="1" customWidth="1"/>
    <col min="20" max="22" width="9.6640625" style="45" bestFit="1" customWidth="1"/>
    <col min="23" max="23" width="5.6640625" style="45" customWidth="1"/>
    <col min="24" max="26" width="9.6640625" style="45" bestFit="1" customWidth="1"/>
    <col min="27" max="56" width="8.88671875" style="45"/>
    <col min="57" max="57" width="16.88671875" style="134" bestFit="1" customWidth="1"/>
    <col min="58" max="58" width="21.44140625" style="134" bestFit="1" customWidth="1"/>
    <col min="59" max="59" width="21.21875" style="134" bestFit="1" customWidth="1"/>
    <col min="60" max="60" width="8.88671875" style="123"/>
    <col min="61" max="61" width="12.109375" style="45" bestFit="1" customWidth="1"/>
    <col min="62" max="16384" width="8.88671875" style="45"/>
  </cols>
  <sheetData>
    <row r="2" spans="1:61" ht="25.2" customHeight="1">
      <c r="A2" s="124"/>
      <c r="B2" s="125"/>
      <c r="C2" s="125"/>
      <c r="D2" s="125"/>
      <c r="E2" s="125"/>
      <c r="F2" s="125"/>
      <c r="G2" s="125"/>
      <c r="H2" s="126"/>
      <c r="BF2" s="138"/>
      <c r="BG2" s="138"/>
      <c r="BH2" s="137"/>
    </row>
    <row r="3" spans="1:61" ht="40.200000000000003" customHeight="1">
      <c r="A3" s="124"/>
      <c r="B3" s="185" t="s">
        <v>104</v>
      </c>
      <c r="C3" s="185"/>
      <c r="D3" s="185"/>
      <c r="E3" s="185"/>
      <c r="F3" s="185"/>
      <c r="G3" s="185"/>
      <c r="H3" s="125"/>
      <c r="T3" s="48"/>
      <c r="BE3" s="183" t="s">
        <v>94</v>
      </c>
      <c r="BF3" s="183"/>
      <c r="BG3" s="183"/>
      <c r="BH3" s="137"/>
    </row>
    <row r="4" spans="1:61" s="46" customFormat="1" ht="19.2">
      <c r="A4" s="184" t="s">
        <v>31</v>
      </c>
      <c r="B4" s="184"/>
      <c r="C4" s="184"/>
      <c r="D4" s="184"/>
      <c r="E4" s="184"/>
      <c r="F4" s="184"/>
      <c r="G4" s="184"/>
      <c r="H4" s="184"/>
      <c r="BE4" s="128" t="s">
        <v>75</v>
      </c>
      <c r="BF4" s="128" t="s">
        <v>76</v>
      </c>
      <c r="BG4" s="128" t="s">
        <v>8</v>
      </c>
      <c r="BH4" s="137"/>
    </row>
    <row r="5" spans="1:61" ht="19.2">
      <c r="A5" s="127"/>
      <c r="B5" s="128" t="s">
        <v>18</v>
      </c>
      <c r="C5" s="128" t="s">
        <v>17</v>
      </c>
      <c r="D5" s="128" t="s">
        <v>16</v>
      </c>
      <c r="E5" s="128" t="s">
        <v>15</v>
      </c>
      <c r="F5" s="128" t="s">
        <v>14</v>
      </c>
      <c r="G5" s="128" t="s">
        <v>13</v>
      </c>
      <c r="H5" s="128" t="s">
        <v>11</v>
      </c>
      <c r="BE5" s="135">
        <v>6513</v>
      </c>
      <c r="BF5" s="136">
        <v>1.01</v>
      </c>
      <c r="BG5" s="135">
        <v>6448.514851485148</v>
      </c>
      <c r="BH5" s="137"/>
    </row>
    <row r="6" spans="1:61" ht="19.2">
      <c r="A6" s="129" t="s">
        <v>25</v>
      </c>
      <c r="B6" s="130">
        <v>7254.44</v>
      </c>
      <c r="C6" s="130">
        <v>6356.6766666666663</v>
      </c>
      <c r="D6" s="130">
        <v>6162.4199999999992</v>
      </c>
      <c r="E6" s="130">
        <v>5252.2433333333329</v>
      </c>
      <c r="F6" s="130">
        <v>6514.7966666666662</v>
      </c>
      <c r="G6" s="130">
        <v>3596.2033333333334</v>
      </c>
      <c r="H6" s="130">
        <v>2481.9466666666667</v>
      </c>
      <c r="BE6" s="135">
        <v>6173</v>
      </c>
      <c r="BF6" s="136">
        <v>1</v>
      </c>
      <c r="BG6" s="135">
        <v>6173</v>
      </c>
      <c r="BH6" s="137"/>
    </row>
    <row r="7" spans="1:61" ht="19.2">
      <c r="A7" s="129" t="s">
        <v>26</v>
      </c>
      <c r="B7" s="130">
        <v>6343.5166666666664</v>
      </c>
      <c r="C7" s="130">
        <v>6461.833333333333</v>
      </c>
      <c r="D7" s="130">
        <v>5893.07</v>
      </c>
      <c r="E7" s="130">
        <v>4596.82</v>
      </c>
      <c r="F7" s="130">
        <v>5013.086666666667</v>
      </c>
      <c r="G7" s="130">
        <v>2892.126666666667</v>
      </c>
      <c r="H7" s="130">
        <v>1746.605</v>
      </c>
      <c r="BE7" s="135">
        <v>6489</v>
      </c>
      <c r="BF7" s="136">
        <v>1.01</v>
      </c>
      <c r="BG7" s="135">
        <v>6424.7524752475247</v>
      </c>
    </row>
    <row r="8" spans="1:61" ht="19.2">
      <c r="A8" s="129" t="s">
        <v>29</v>
      </c>
      <c r="B8" s="130">
        <v>7200.0566666666664</v>
      </c>
      <c r="C8" s="130">
        <v>6074.9199999999992</v>
      </c>
      <c r="D8" s="130">
        <v>6003.0366666666669</v>
      </c>
      <c r="E8" s="130">
        <v>4881.5166666666673</v>
      </c>
      <c r="F8" s="130">
        <v>4740.7766666666666</v>
      </c>
      <c r="G8" s="130">
        <v>3869.1666666666665</v>
      </c>
      <c r="H8" s="130">
        <v>1862.87</v>
      </c>
      <c r="BE8" s="135">
        <v>6537</v>
      </c>
      <c r="BF8" s="136">
        <v>1</v>
      </c>
      <c r="BG8" s="135">
        <v>6537</v>
      </c>
    </row>
    <row r="9" spans="1:61" ht="19.2">
      <c r="A9" s="129" t="s">
        <v>30</v>
      </c>
      <c r="B9" s="130">
        <v>6468.5466666666662</v>
      </c>
      <c r="C9" s="130">
        <v>4832.376666666667</v>
      </c>
      <c r="D9" s="130">
        <v>4882.9800000000005</v>
      </c>
      <c r="E9" s="130">
        <v>4765.1366666666663</v>
      </c>
      <c r="F9" s="130">
        <v>4459.4066666666668</v>
      </c>
      <c r="G9" s="130">
        <v>3067.47</v>
      </c>
      <c r="H9" s="130">
        <v>1754.4533333333331</v>
      </c>
      <c r="BE9" s="135">
        <v>6899</v>
      </c>
      <c r="BF9" s="136">
        <v>1.02</v>
      </c>
      <c r="BG9" s="135">
        <v>6763.7254901960787</v>
      </c>
    </row>
    <row r="10" spans="1:61" ht="19.2">
      <c r="A10" s="129" t="s">
        <v>10</v>
      </c>
      <c r="B10" s="130">
        <v>5243.3877170325732</v>
      </c>
      <c r="C10" s="130">
        <v>7043.0059523809532</v>
      </c>
      <c r="D10" s="130">
        <v>6305.0039391611499</v>
      </c>
      <c r="E10" s="130">
        <v>5802.9922992299225</v>
      </c>
      <c r="F10" s="130">
        <v>5226.3696369636964</v>
      </c>
      <c r="G10" s="130">
        <v>3856.6666666666665</v>
      </c>
      <c r="H10" s="130">
        <v>3040</v>
      </c>
      <c r="BE10" s="135">
        <v>7088</v>
      </c>
      <c r="BF10" s="136">
        <v>1.05</v>
      </c>
      <c r="BG10" s="135">
        <v>6750.4761904761899</v>
      </c>
    </row>
    <row r="11" spans="1:61" ht="19.2">
      <c r="A11" s="129" t="s">
        <v>12</v>
      </c>
      <c r="B11" s="130">
        <v>5168.8362192383629</v>
      </c>
      <c r="C11" s="130">
        <v>5003.7926743494018</v>
      </c>
      <c r="D11" s="130">
        <v>4141.3841972432538</v>
      </c>
      <c r="E11" s="130">
        <v>3183.7689768976902</v>
      </c>
      <c r="F11" s="130">
        <v>4358.5907859078588</v>
      </c>
      <c r="G11" s="130">
        <v>3750.6666666666665</v>
      </c>
      <c r="H11" s="130">
        <v>3306.6666666666665</v>
      </c>
      <c r="BE11" s="135">
        <v>7246</v>
      </c>
      <c r="BF11" s="136">
        <v>1.01</v>
      </c>
      <c r="BG11" s="135">
        <v>7174.257425742574</v>
      </c>
    </row>
    <row r="12" spans="1:61" ht="19.2">
      <c r="A12" s="129" t="s">
        <v>21</v>
      </c>
      <c r="B12" s="130">
        <v>3373.1154063121644</v>
      </c>
      <c r="C12" s="130">
        <v>3164.0264026402638</v>
      </c>
      <c r="D12" s="130">
        <v>3789.339933993399</v>
      </c>
      <c r="E12" s="130">
        <v>3040.5940594059407</v>
      </c>
      <c r="F12" s="130">
        <v>3275.7269700332963</v>
      </c>
      <c r="G12" s="130">
        <v>3276.002717918851</v>
      </c>
      <c r="H12" s="130">
        <v>3025.8861340679523</v>
      </c>
      <c r="X12" s="46"/>
      <c r="Y12" s="46"/>
      <c r="Z12" s="46"/>
      <c r="AA12" s="46"/>
      <c r="AB12" s="46"/>
      <c r="AC12" s="46"/>
      <c r="BE12" s="135">
        <v>7307</v>
      </c>
      <c r="BF12" s="136">
        <v>1.01</v>
      </c>
      <c r="BG12" s="135">
        <v>7234.6534653465342</v>
      </c>
    </row>
    <row r="13" spans="1:61" ht="19.2">
      <c r="A13" s="129" t="s">
        <v>22</v>
      </c>
      <c r="B13" s="130">
        <v>2626.7843137254899</v>
      </c>
      <c r="C13" s="130">
        <v>2456.5165016501651</v>
      </c>
      <c r="D13" s="130">
        <v>2112.9198213939039</v>
      </c>
      <c r="E13" s="130">
        <v>1866.8118811881188</v>
      </c>
      <c r="F13" s="130">
        <v>1881.6946260663801</v>
      </c>
      <c r="G13" s="130">
        <v>1985.8679547566408</v>
      </c>
      <c r="H13" s="130">
        <v>1539.6327982312794</v>
      </c>
      <c r="X13" s="47"/>
      <c r="Y13" s="47"/>
      <c r="Z13" s="47"/>
      <c r="AA13" s="47"/>
      <c r="AB13" s="47"/>
      <c r="AC13" s="47"/>
      <c r="BE13" s="135">
        <v>7367</v>
      </c>
      <c r="BF13" s="136">
        <v>1.01</v>
      </c>
      <c r="BG13" s="135">
        <v>7294.0594059405939</v>
      </c>
    </row>
    <row r="14" spans="1:61" ht="19.2">
      <c r="A14" s="127"/>
      <c r="B14" s="130"/>
      <c r="C14" s="130"/>
      <c r="D14" s="130"/>
      <c r="E14" s="130"/>
      <c r="F14" s="130"/>
      <c r="G14" s="130"/>
      <c r="H14" s="130"/>
      <c r="X14" s="47"/>
      <c r="Y14" s="47"/>
      <c r="Z14" s="47"/>
      <c r="AA14" s="47"/>
      <c r="AB14" s="47"/>
      <c r="AC14" s="47"/>
      <c r="BE14" s="135">
        <v>7713</v>
      </c>
      <c r="BF14" s="136">
        <v>1.05</v>
      </c>
      <c r="BG14" s="135">
        <v>7345.7142857142853</v>
      </c>
    </row>
    <row r="15" spans="1:61" ht="19.2">
      <c r="A15" s="184" t="s">
        <v>70</v>
      </c>
      <c r="B15" s="184"/>
      <c r="C15" s="184"/>
      <c r="D15" s="184"/>
      <c r="E15" s="184"/>
      <c r="F15" s="184"/>
      <c r="G15" s="184"/>
      <c r="H15" s="184"/>
      <c r="X15" s="47"/>
      <c r="Y15" s="47"/>
      <c r="Z15" s="47"/>
      <c r="AA15" s="47"/>
      <c r="AB15" s="47"/>
      <c r="AC15" s="47"/>
      <c r="BE15" s="135">
        <v>8245</v>
      </c>
      <c r="BF15" s="136">
        <v>1</v>
      </c>
      <c r="BG15" s="135">
        <v>8245</v>
      </c>
      <c r="BI15" s="141"/>
    </row>
    <row r="16" spans="1:61" ht="19.2">
      <c r="A16" s="127"/>
      <c r="B16" s="128" t="s">
        <v>18</v>
      </c>
      <c r="C16" s="128" t="s">
        <v>17</v>
      </c>
      <c r="D16" s="128" t="s">
        <v>16</v>
      </c>
      <c r="E16" s="128" t="s">
        <v>15</v>
      </c>
      <c r="F16" s="128" t="s">
        <v>14</v>
      </c>
      <c r="G16" s="128" t="s">
        <v>13</v>
      </c>
      <c r="H16" s="128" t="s">
        <v>11</v>
      </c>
      <c r="X16" s="47"/>
      <c r="Y16" s="47"/>
      <c r="Z16" s="47"/>
      <c r="AA16" s="47"/>
      <c r="AB16" s="47"/>
      <c r="AC16" s="47"/>
      <c r="BE16" s="135">
        <v>8766</v>
      </c>
      <c r="BF16" s="136">
        <v>1</v>
      </c>
      <c r="BG16" s="135">
        <v>8766</v>
      </c>
      <c r="BI16" s="141"/>
    </row>
    <row r="17" spans="1:59" ht="19.2">
      <c r="A17" s="129" t="s">
        <v>25</v>
      </c>
      <c r="B17" s="130">
        <v>3857.4421118094106</v>
      </c>
      <c r="C17" s="130">
        <v>2416.9266291422227</v>
      </c>
      <c r="D17" s="130">
        <v>2246.3818433125366</v>
      </c>
      <c r="E17" s="130">
        <v>1921.6576785883717</v>
      </c>
      <c r="F17" s="130">
        <v>1763.5087257659618</v>
      </c>
      <c r="G17" s="130">
        <v>1370.0914873418806</v>
      </c>
      <c r="H17" s="130">
        <v>1134.8450661579921</v>
      </c>
      <c r="X17" s="47"/>
      <c r="Y17" s="47"/>
      <c r="Z17" s="47"/>
      <c r="AA17" s="47"/>
      <c r="AB17" s="47"/>
      <c r="AC17" s="47"/>
      <c r="BE17" s="135">
        <v>9045</v>
      </c>
      <c r="BF17" s="136">
        <v>1.02</v>
      </c>
      <c r="BG17" s="135">
        <v>8867.6470588235297</v>
      </c>
    </row>
    <row r="18" spans="1:59" ht="19.2">
      <c r="A18" s="129" t="s">
        <v>26</v>
      </c>
      <c r="B18" s="130">
        <v>2566.8877099911583</v>
      </c>
      <c r="C18" s="130">
        <v>2826.3896594236398</v>
      </c>
      <c r="D18" s="130">
        <v>1992.5302845420622</v>
      </c>
      <c r="E18" s="130">
        <v>1520.2368990289021</v>
      </c>
      <c r="F18" s="130">
        <v>1330.2457629540713</v>
      </c>
      <c r="G18" s="130">
        <v>1387.2222222222219</v>
      </c>
      <c r="H18" s="130">
        <v>1525.2222222222219</v>
      </c>
      <c r="X18" s="47"/>
      <c r="Y18" s="47"/>
      <c r="Z18" s="47"/>
      <c r="AA18" s="47"/>
      <c r="AB18" s="47"/>
      <c r="AC18" s="47"/>
      <c r="BE18" s="135">
        <v>9371</v>
      </c>
      <c r="BF18" s="136">
        <v>1</v>
      </c>
      <c r="BG18" s="135">
        <v>9371</v>
      </c>
    </row>
    <row r="19" spans="1:59" ht="19.2">
      <c r="A19" s="129" t="s">
        <v>29</v>
      </c>
      <c r="B19" s="130">
        <v>2267</v>
      </c>
      <c r="C19" s="130">
        <v>2087.9718814972834</v>
      </c>
      <c r="D19" s="130">
        <v>1684.2315515955263</v>
      </c>
      <c r="E19" s="130">
        <v>1384.5366284201234</v>
      </c>
      <c r="F19" s="130">
        <v>1272.7008484553241</v>
      </c>
      <c r="G19" s="130">
        <v>1052.1232913515698</v>
      </c>
      <c r="H19" s="130">
        <v>1139.8531029573546</v>
      </c>
      <c r="X19" s="47"/>
      <c r="Y19" s="47"/>
      <c r="Z19" s="47"/>
      <c r="AA19" s="47"/>
      <c r="AB19" s="47"/>
      <c r="AC19" s="47"/>
      <c r="BE19" s="135">
        <v>9526</v>
      </c>
      <c r="BF19" s="136">
        <v>1.01</v>
      </c>
      <c r="BG19" s="135">
        <v>9431.6831683168311</v>
      </c>
    </row>
    <row r="20" spans="1:59" ht="19.2">
      <c r="A20" s="129" t="s">
        <v>30</v>
      </c>
      <c r="B20" s="130">
        <v>2207.8205128205127</v>
      </c>
      <c r="C20" s="130">
        <v>1581.0824534071896</v>
      </c>
      <c r="D20" s="130">
        <v>1697.8568997374307</v>
      </c>
      <c r="E20" s="130">
        <v>1456.8614978621656</v>
      </c>
      <c r="F20" s="130">
        <v>1387.3306822485529</v>
      </c>
      <c r="G20" s="130">
        <v>972.67986798679874</v>
      </c>
      <c r="H20" s="130">
        <v>1152.1126785244896</v>
      </c>
      <c r="X20" s="47"/>
      <c r="Y20" s="47"/>
      <c r="Z20" s="47"/>
      <c r="AA20" s="47"/>
      <c r="AB20" s="47"/>
      <c r="AC20" s="47"/>
      <c r="BE20" s="135">
        <v>9577</v>
      </c>
      <c r="BF20" s="136">
        <v>1.01</v>
      </c>
      <c r="BG20" s="135">
        <v>9482.1782178217818</v>
      </c>
    </row>
    <row r="21" spans="1:59" ht="19.2">
      <c r="A21" s="129" t="s">
        <v>10</v>
      </c>
      <c r="B21" s="130">
        <v>1258.6666666666667</v>
      </c>
      <c r="C21" s="130">
        <v>1689.6228938683344</v>
      </c>
      <c r="D21" s="130">
        <v>1683.2038469804427</v>
      </c>
      <c r="E21" s="130">
        <v>1460.050107372942</v>
      </c>
      <c r="F21" s="130">
        <v>1392.9698212970354</v>
      </c>
      <c r="G21" s="130">
        <v>1090.9638186040827</v>
      </c>
      <c r="H21" s="130">
        <v>1038.5595238095236</v>
      </c>
      <c r="X21" s="47"/>
      <c r="Y21" s="47"/>
      <c r="Z21" s="47"/>
      <c r="AA21" s="47"/>
      <c r="AB21" s="47"/>
      <c r="AC21" s="47"/>
      <c r="BE21" s="135">
        <v>9826</v>
      </c>
      <c r="BF21" s="136">
        <v>1.05</v>
      </c>
      <c r="BG21" s="135">
        <v>9358.0952380952385</v>
      </c>
    </row>
    <row r="22" spans="1:59" ht="19.2">
      <c r="A22" s="129" t="s">
        <v>12</v>
      </c>
      <c r="B22" s="130"/>
      <c r="C22" s="130">
        <v>1349.5726495726497</v>
      </c>
      <c r="D22" s="130">
        <v>1238.9655377362403</v>
      </c>
      <c r="E22" s="130">
        <v>1195.5162009707465</v>
      </c>
      <c r="F22" s="130">
        <v>1076.4013267482408</v>
      </c>
      <c r="G22" s="130">
        <v>1123.1322272498744</v>
      </c>
      <c r="H22" s="130">
        <v>1029.1243831363763</v>
      </c>
      <c r="BE22" s="135">
        <v>9955</v>
      </c>
      <c r="BF22" s="136">
        <v>1</v>
      </c>
      <c r="BG22" s="135">
        <v>9955</v>
      </c>
    </row>
    <row r="23" spans="1:59" ht="19.2">
      <c r="A23" s="129" t="s">
        <v>21</v>
      </c>
      <c r="B23" s="130"/>
      <c r="C23" s="130">
        <v>1030.8072778661015</v>
      </c>
      <c r="D23" s="130">
        <v>1379.7805788982259</v>
      </c>
      <c r="E23" s="130">
        <v>1228.260412427079</v>
      </c>
      <c r="F23" s="130">
        <v>936.9281045751635</v>
      </c>
      <c r="G23" s="130">
        <v>889.47194719471952</v>
      </c>
      <c r="H23" s="130">
        <v>888.34951456310682</v>
      </c>
      <c r="BE23" s="135">
        <v>10000</v>
      </c>
      <c r="BF23" s="136">
        <v>1.02</v>
      </c>
      <c r="BG23" s="135">
        <v>9803.9215686274511</v>
      </c>
    </row>
    <row r="24" spans="1:59" ht="19.2">
      <c r="A24" s="129" t="s">
        <v>22</v>
      </c>
      <c r="B24" s="130"/>
      <c r="C24" s="130"/>
      <c r="D24" s="130">
        <v>484.0515151515151</v>
      </c>
      <c r="E24" s="130"/>
      <c r="F24" s="130">
        <v>401.93827160493828</v>
      </c>
      <c r="G24" s="130">
        <v>339.60396039603961</v>
      </c>
      <c r="H24" s="130"/>
      <c r="BE24" s="135">
        <v>10189</v>
      </c>
      <c r="BF24" s="136">
        <v>1.21</v>
      </c>
      <c r="BG24" s="135">
        <v>8420.6611570247933</v>
      </c>
    </row>
    <row r="25" spans="1:59" ht="19.2">
      <c r="A25" s="124"/>
      <c r="B25" s="125"/>
      <c r="C25" s="125"/>
      <c r="D25" s="125"/>
      <c r="E25" s="125"/>
      <c r="F25" s="125"/>
      <c r="G25" s="125"/>
      <c r="H25" s="125"/>
      <c r="BE25" s="135">
        <v>10699</v>
      </c>
      <c r="BF25" s="136">
        <v>1.01</v>
      </c>
      <c r="BG25" s="135">
        <v>10593.069306930693</v>
      </c>
    </row>
    <row r="26" spans="1:59" ht="15" customHeight="1">
      <c r="A26" s="124"/>
      <c r="B26" s="185"/>
      <c r="C26" s="185"/>
      <c r="D26" s="185"/>
      <c r="E26" s="185"/>
      <c r="F26" s="185"/>
      <c r="G26" s="185"/>
      <c r="H26" s="125"/>
      <c r="BE26" s="135">
        <v>10385</v>
      </c>
      <c r="BF26" s="136">
        <v>1.07</v>
      </c>
      <c r="BG26" s="135">
        <v>9705.6074766355141</v>
      </c>
    </row>
    <row r="27" spans="1:59" ht="19.2">
      <c r="A27" s="184" t="s">
        <v>102</v>
      </c>
      <c r="B27" s="184"/>
      <c r="C27" s="184"/>
      <c r="D27" s="184"/>
      <c r="E27" s="184"/>
      <c r="F27" s="184"/>
      <c r="G27" s="184"/>
      <c r="H27" s="184"/>
      <c r="BE27" s="135">
        <v>11099</v>
      </c>
      <c r="BF27" s="136">
        <v>1.05</v>
      </c>
      <c r="BG27" s="135">
        <v>10570.476190476191</v>
      </c>
    </row>
    <row r="28" spans="1:59" ht="19.2">
      <c r="A28" s="127"/>
      <c r="B28" s="128" t="s">
        <v>18</v>
      </c>
      <c r="C28" s="128" t="s">
        <v>17</v>
      </c>
      <c r="D28" s="128" t="s">
        <v>16</v>
      </c>
      <c r="E28" s="128" t="s">
        <v>15</v>
      </c>
      <c r="F28" s="128" t="s">
        <v>14</v>
      </c>
      <c r="G28" s="128" t="s">
        <v>13</v>
      </c>
      <c r="H28" s="128" t="s">
        <v>11</v>
      </c>
      <c r="BE28" s="135">
        <v>11514</v>
      </c>
      <c r="BF28" s="136">
        <v>1.2</v>
      </c>
      <c r="BG28" s="135">
        <v>9595</v>
      </c>
    </row>
    <row r="29" spans="1:59" ht="19.2">
      <c r="A29" s="129" t="s">
        <v>25</v>
      </c>
      <c r="B29" s="131">
        <v>12500</v>
      </c>
      <c r="C29" s="131">
        <v>10400</v>
      </c>
      <c r="D29" s="131">
        <v>9400</v>
      </c>
      <c r="E29" s="131">
        <v>8500</v>
      </c>
      <c r="F29" s="131">
        <v>7500</v>
      </c>
      <c r="G29" s="131">
        <v>6300</v>
      </c>
      <c r="H29" s="131">
        <v>5200</v>
      </c>
      <c r="BE29" s="135">
        <v>12905</v>
      </c>
      <c r="BF29" s="136">
        <v>1.2</v>
      </c>
      <c r="BG29" s="135">
        <v>10754.166666666668</v>
      </c>
    </row>
    <row r="30" spans="1:59" ht="19.2">
      <c r="A30" s="129" t="s">
        <v>26</v>
      </c>
      <c r="B30" s="131">
        <v>10400</v>
      </c>
      <c r="C30" s="131">
        <v>9400</v>
      </c>
      <c r="D30" s="131">
        <v>8700</v>
      </c>
      <c r="E30" s="131">
        <v>8000</v>
      </c>
      <c r="F30" s="131">
        <v>7200</v>
      </c>
      <c r="G30" s="131">
        <v>6000</v>
      </c>
      <c r="H30" s="131">
        <v>5000</v>
      </c>
      <c r="BE30" s="135">
        <v>13153</v>
      </c>
      <c r="BF30" s="136">
        <v>1.21</v>
      </c>
      <c r="BG30" s="135">
        <v>10870.247933884299</v>
      </c>
    </row>
    <row r="31" spans="1:59" ht="19.2">
      <c r="A31" s="129" t="s">
        <v>29</v>
      </c>
      <c r="B31" s="131">
        <v>9400</v>
      </c>
      <c r="C31" s="131">
        <v>8500</v>
      </c>
      <c r="D31" s="131">
        <v>8000</v>
      </c>
      <c r="E31" s="131">
        <v>7500</v>
      </c>
      <c r="F31" s="131">
        <v>6900</v>
      </c>
      <c r="G31" s="131">
        <v>5700</v>
      </c>
      <c r="H31" s="131">
        <v>4800</v>
      </c>
      <c r="BE31" s="135">
        <v>13659</v>
      </c>
      <c r="BF31" s="136">
        <v>1.21</v>
      </c>
      <c r="BG31" s="135">
        <v>11288.429752066117</v>
      </c>
    </row>
    <row r="32" spans="1:59" ht="19.2">
      <c r="A32" s="129" t="s">
        <v>30</v>
      </c>
      <c r="B32" s="131">
        <v>8100</v>
      </c>
      <c r="C32" s="131">
        <v>7700</v>
      </c>
      <c r="D32" s="131">
        <v>7300</v>
      </c>
      <c r="E32" s="131">
        <v>7000</v>
      </c>
      <c r="F32" s="131">
        <v>6600</v>
      </c>
      <c r="G32" s="131">
        <v>5400</v>
      </c>
      <c r="H32" s="131">
        <v>4600</v>
      </c>
      <c r="BE32" s="135">
        <v>14281</v>
      </c>
      <c r="BF32" s="136">
        <v>1.21</v>
      </c>
      <c r="BG32" s="135">
        <v>11802.479338842975</v>
      </c>
    </row>
    <row r="33" spans="1:60" ht="19.2">
      <c r="A33" s="129" t="s">
        <v>10</v>
      </c>
      <c r="B33" s="131">
        <v>6900</v>
      </c>
      <c r="C33" s="131">
        <v>6600</v>
      </c>
      <c r="D33" s="131">
        <v>6300</v>
      </c>
      <c r="E33" s="131">
        <v>6000</v>
      </c>
      <c r="F33" s="131">
        <v>5700</v>
      </c>
      <c r="G33" s="131">
        <v>5000</v>
      </c>
      <c r="H33" s="131">
        <v>4300</v>
      </c>
      <c r="BE33" s="135">
        <v>15866</v>
      </c>
      <c r="BF33" s="136">
        <v>1.31</v>
      </c>
      <c r="BG33" s="135">
        <v>12111.450381679389</v>
      </c>
      <c r="BH33" s="140"/>
    </row>
    <row r="34" spans="1:60" ht="19.2">
      <c r="A34" s="129" t="s">
        <v>12</v>
      </c>
      <c r="B34" s="131">
        <v>5900</v>
      </c>
      <c r="C34" s="131">
        <v>5600</v>
      </c>
      <c r="D34" s="131">
        <v>5400</v>
      </c>
      <c r="E34" s="131">
        <v>5200</v>
      </c>
      <c r="F34" s="131">
        <v>4900</v>
      </c>
      <c r="G34" s="131">
        <v>4400</v>
      </c>
      <c r="H34" s="131">
        <v>3900</v>
      </c>
      <c r="BE34" s="135">
        <v>17061</v>
      </c>
      <c r="BF34" s="136">
        <v>1.44</v>
      </c>
      <c r="BG34" s="135">
        <v>11847.916666666668</v>
      </c>
      <c r="BH34" s="140"/>
    </row>
    <row r="35" spans="1:60" ht="19.2">
      <c r="A35" s="129" t="s">
        <v>21</v>
      </c>
      <c r="B35" s="131">
        <v>4800</v>
      </c>
      <c r="C35" s="131">
        <v>4600</v>
      </c>
      <c r="D35" s="131">
        <v>4400</v>
      </c>
      <c r="E35" s="131">
        <v>4200</v>
      </c>
      <c r="F35" s="131">
        <v>4000</v>
      </c>
      <c r="G35" s="131">
        <v>3600</v>
      </c>
      <c r="H35" s="131">
        <v>3200</v>
      </c>
      <c r="BE35" s="136"/>
      <c r="BF35" s="136"/>
      <c r="BG35" s="136"/>
      <c r="BH35" s="140"/>
    </row>
    <row r="36" spans="1:60" ht="19.2">
      <c r="A36" s="129" t="s">
        <v>22</v>
      </c>
      <c r="B36" s="131">
        <v>3900</v>
      </c>
      <c r="C36" s="131">
        <v>3700</v>
      </c>
      <c r="D36" s="131">
        <v>3500</v>
      </c>
      <c r="E36" s="131">
        <v>3300</v>
      </c>
      <c r="F36" s="131">
        <v>3200</v>
      </c>
      <c r="G36" s="131">
        <v>2900</v>
      </c>
      <c r="H36" s="131">
        <v>2700</v>
      </c>
      <c r="BE36" s="136"/>
      <c r="BF36" s="129" t="s">
        <v>126</v>
      </c>
      <c r="BG36" s="139">
        <f>AVERAGE(BG5:BG34)</f>
        <v>8966.2061237569033</v>
      </c>
      <c r="BH36" s="140"/>
    </row>
    <row r="37" spans="1:60" ht="19.2">
      <c r="BE37" s="136"/>
      <c r="BF37" s="136"/>
      <c r="BG37" s="136"/>
      <c r="BH37" s="140"/>
    </row>
    <row r="39" spans="1:60" ht="43.8" customHeight="1">
      <c r="BE39" s="183" t="s">
        <v>94</v>
      </c>
      <c r="BF39" s="183"/>
      <c r="BG39" s="183"/>
    </row>
    <row r="40" spans="1:60" ht="19.2">
      <c r="BE40" s="128" t="s">
        <v>75</v>
      </c>
      <c r="BF40" s="128" t="s">
        <v>76</v>
      </c>
      <c r="BG40" s="128" t="s">
        <v>8</v>
      </c>
    </row>
    <row r="41" spans="1:60" ht="19.2">
      <c r="BE41" s="136">
        <v>2817</v>
      </c>
      <c r="BF41" s="136">
        <v>1.19</v>
      </c>
      <c r="BG41" s="135">
        <f>BE41/BF41</f>
        <v>2367.2268907563025</v>
      </c>
    </row>
    <row r="42" spans="1:60" ht="19.2">
      <c r="BE42" s="136">
        <v>2272</v>
      </c>
      <c r="BF42" s="136">
        <v>1.07</v>
      </c>
      <c r="BG42" s="135">
        <f t="shared" ref="BG42:BG70" si="0">BE42/BF42</f>
        <v>2123.3644859813085</v>
      </c>
    </row>
    <row r="43" spans="1:60" ht="19.2">
      <c r="BE43" s="136">
        <v>2301</v>
      </c>
      <c r="BF43" s="136">
        <v>1.08</v>
      </c>
      <c r="BG43" s="135">
        <f t="shared" si="0"/>
        <v>2130.5555555555552</v>
      </c>
    </row>
    <row r="44" spans="1:60" ht="19.2">
      <c r="BE44" s="136">
        <v>2362</v>
      </c>
      <c r="BF44" s="136">
        <v>1.05</v>
      </c>
      <c r="BG44" s="135">
        <f t="shared" si="0"/>
        <v>2249.5238095238096</v>
      </c>
    </row>
    <row r="45" spans="1:60" ht="19.2">
      <c r="BE45" s="136">
        <v>2386</v>
      </c>
      <c r="BF45" s="136">
        <v>1.1200000000000001</v>
      </c>
      <c r="BG45" s="135">
        <f t="shared" si="0"/>
        <v>2130.3571428571427</v>
      </c>
    </row>
    <row r="46" spans="1:60" ht="19.2">
      <c r="BE46" s="136">
        <v>2490</v>
      </c>
      <c r="BF46" s="136">
        <v>1.04</v>
      </c>
      <c r="BG46" s="135">
        <f t="shared" si="0"/>
        <v>2394.2307692307691</v>
      </c>
    </row>
    <row r="47" spans="1:60" ht="19.2">
      <c r="BE47" s="136">
        <v>2532</v>
      </c>
      <c r="BF47" s="136">
        <v>1.06</v>
      </c>
      <c r="BG47" s="135">
        <f t="shared" si="0"/>
        <v>2388.6792452830186</v>
      </c>
    </row>
    <row r="48" spans="1:60" ht="19.2">
      <c r="BE48" s="136">
        <v>2533</v>
      </c>
      <c r="BF48" s="136">
        <v>1.1000000000000001</v>
      </c>
      <c r="BG48" s="135">
        <f t="shared" si="0"/>
        <v>2302.7272727272725</v>
      </c>
    </row>
    <row r="49" spans="57:59" ht="19.2">
      <c r="BE49" s="136">
        <v>2553</v>
      </c>
      <c r="BF49" s="136">
        <v>1.07</v>
      </c>
      <c r="BG49" s="135">
        <f t="shared" si="0"/>
        <v>2385.9813084112147</v>
      </c>
    </row>
    <row r="50" spans="57:59" ht="19.2">
      <c r="BE50" s="136">
        <v>2658</v>
      </c>
      <c r="BF50" s="136">
        <v>1.1200000000000001</v>
      </c>
      <c r="BG50" s="135">
        <f t="shared" si="0"/>
        <v>2373.2142857142853</v>
      </c>
    </row>
    <row r="51" spans="57:59" ht="19.2">
      <c r="BE51" s="136">
        <v>2663</v>
      </c>
      <c r="BF51" s="136">
        <v>1</v>
      </c>
      <c r="BG51" s="135">
        <f t="shared" si="0"/>
        <v>2663</v>
      </c>
    </row>
    <row r="52" spans="57:59" ht="19.2">
      <c r="BE52" s="136">
        <v>2682</v>
      </c>
      <c r="BF52" s="136">
        <v>1.2</v>
      </c>
      <c r="BG52" s="135">
        <f t="shared" si="0"/>
        <v>2235</v>
      </c>
    </row>
    <row r="53" spans="57:59" ht="19.2">
      <c r="BE53" s="136">
        <v>2690</v>
      </c>
      <c r="BF53" s="136">
        <v>1.01</v>
      </c>
      <c r="BG53" s="135">
        <f t="shared" si="0"/>
        <v>2663.3663366336632</v>
      </c>
    </row>
    <row r="54" spans="57:59" ht="19.2">
      <c r="BE54" s="136">
        <v>2717</v>
      </c>
      <c r="BF54" s="136">
        <v>1.02</v>
      </c>
      <c r="BG54" s="135">
        <f t="shared" si="0"/>
        <v>2663.7254901960782</v>
      </c>
    </row>
    <row r="55" spans="57:59" ht="19.2">
      <c r="BE55" s="136">
        <v>2786</v>
      </c>
      <c r="BF55" s="136">
        <v>1.1100000000000001</v>
      </c>
      <c r="BG55" s="135">
        <f t="shared" si="0"/>
        <v>2509.9099099099099</v>
      </c>
    </row>
    <row r="56" spans="57:59" ht="19.2">
      <c r="BE56" s="136">
        <v>2811</v>
      </c>
      <c r="BF56" s="136">
        <v>1</v>
      </c>
      <c r="BG56" s="135">
        <f t="shared" si="0"/>
        <v>2811</v>
      </c>
    </row>
    <row r="57" spans="57:59" ht="19.2">
      <c r="BE57" s="136">
        <v>2878</v>
      </c>
      <c r="BF57" s="136">
        <v>1.2</v>
      </c>
      <c r="BG57" s="135">
        <f t="shared" si="0"/>
        <v>2398.3333333333335</v>
      </c>
    </row>
    <row r="58" spans="57:59" ht="19.2">
      <c r="BE58" s="136">
        <v>2892</v>
      </c>
      <c r="BF58" s="136">
        <v>1</v>
      </c>
      <c r="BG58" s="135">
        <f t="shared" si="0"/>
        <v>2892</v>
      </c>
    </row>
    <row r="59" spans="57:59" ht="19.2">
      <c r="BE59" s="136">
        <v>2900</v>
      </c>
      <c r="BF59" s="136">
        <v>1.01</v>
      </c>
      <c r="BG59" s="135">
        <f t="shared" si="0"/>
        <v>2871.2871287128714</v>
      </c>
    </row>
    <row r="60" spans="57:59" ht="19.2">
      <c r="BE60" s="136">
        <v>2920</v>
      </c>
      <c r="BF60" s="136">
        <v>1.01</v>
      </c>
      <c r="BG60" s="135">
        <f t="shared" si="0"/>
        <v>2891.0891089108909</v>
      </c>
    </row>
    <row r="61" spans="57:59" ht="19.2">
      <c r="BE61" s="136">
        <v>2973</v>
      </c>
      <c r="BF61" s="136">
        <v>1.02</v>
      </c>
      <c r="BG61" s="135">
        <f t="shared" si="0"/>
        <v>2914.705882352941</v>
      </c>
    </row>
    <row r="62" spans="57:59" ht="19.2">
      <c r="BE62" s="136">
        <v>2980</v>
      </c>
      <c r="BF62" s="136">
        <v>1.06</v>
      </c>
      <c r="BG62" s="135">
        <f t="shared" si="0"/>
        <v>2811.3207547169809</v>
      </c>
    </row>
    <row r="63" spans="57:59" ht="19.2">
      <c r="BE63" s="136">
        <v>3092</v>
      </c>
      <c r="BF63" s="136">
        <v>1.1000000000000001</v>
      </c>
      <c r="BG63" s="135">
        <f t="shared" si="0"/>
        <v>2810.9090909090905</v>
      </c>
    </row>
    <row r="64" spans="57:59" ht="19.2">
      <c r="BE64" s="136">
        <v>3122</v>
      </c>
      <c r="BF64" s="136">
        <v>1.1200000000000001</v>
      </c>
      <c r="BG64" s="135">
        <f t="shared" si="0"/>
        <v>2787.4999999999995</v>
      </c>
    </row>
    <row r="65" spans="57:59" ht="19.2">
      <c r="BE65" s="136">
        <v>3420</v>
      </c>
      <c r="BF65" s="136">
        <v>1.07</v>
      </c>
      <c r="BG65" s="135">
        <f t="shared" si="0"/>
        <v>3196.2616822429904</v>
      </c>
    </row>
    <row r="66" spans="57:59" ht="19.2">
      <c r="BE66" s="136">
        <v>3617</v>
      </c>
      <c r="BF66" s="136">
        <v>1.31</v>
      </c>
      <c r="BG66" s="135">
        <f t="shared" si="0"/>
        <v>2761.0687022900761</v>
      </c>
    </row>
    <row r="67" spans="57:59" ht="19.2">
      <c r="BE67" s="136">
        <v>4068</v>
      </c>
      <c r="BF67" s="136">
        <v>1.2</v>
      </c>
      <c r="BG67" s="135">
        <f t="shared" si="0"/>
        <v>3390</v>
      </c>
    </row>
    <row r="68" spans="57:59" ht="19.2">
      <c r="BE68" s="136">
        <v>4184</v>
      </c>
      <c r="BF68" s="136">
        <v>1.01</v>
      </c>
      <c r="BG68" s="135">
        <f t="shared" si="0"/>
        <v>4142.5742574257429</v>
      </c>
    </row>
    <row r="69" spans="57:59" ht="19.2">
      <c r="BE69" s="136">
        <v>2900</v>
      </c>
      <c r="BF69" s="136">
        <v>1.01</v>
      </c>
      <c r="BG69" s="135">
        <f t="shared" si="0"/>
        <v>2871.2871287128714</v>
      </c>
    </row>
    <row r="70" spans="57:59" ht="19.2">
      <c r="BE70" s="136">
        <v>6302</v>
      </c>
      <c r="BF70" s="136">
        <v>1.26</v>
      </c>
      <c r="BG70" s="135">
        <f t="shared" si="0"/>
        <v>5001.5873015873012</v>
      </c>
    </row>
    <row r="72" spans="57:59" ht="19.2">
      <c r="BF72" s="129" t="s">
        <v>126</v>
      </c>
      <c r="BG72" s="139">
        <f>AVERAGE(BG41:BG70)</f>
        <v>2737.7262291325146</v>
      </c>
    </row>
  </sheetData>
  <mergeCells count="7">
    <mergeCell ref="BE3:BG3"/>
    <mergeCell ref="BE39:BG39"/>
    <mergeCell ref="A4:H4"/>
    <mergeCell ref="A15:H15"/>
    <mergeCell ref="B3:G3"/>
    <mergeCell ref="A27:H27"/>
    <mergeCell ref="B26:G26"/>
  </mergeCells>
  <pageMargins left="0" right="0" top="0" bottom="0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3" r:id="rId4" name="Option Button 5">
              <controlPr defaultSize="0" autoFill="0" autoLine="0" autoPict="0" macro="[0]!converttonumbers">
                <anchor moveWithCells="1">
                  <from>
                    <xdr:col>6</xdr:col>
                    <xdr:colOff>579120</xdr:colOff>
                    <xdr:row>2</xdr:row>
                    <xdr:rowOff>144780</xdr:rowOff>
                  </from>
                  <to>
                    <xdr:col>7</xdr:col>
                    <xdr:colOff>45720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5" name="Option Button 6">
              <controlPr defaultSize="0" autoFill="0" autoLine="0" autoPict="0" macro="[0]!convertback">
                <anchor moveWithCells="1">
                  <from>
                    <xdr:col>7</xdr:col>
                    <xdr:colOff>289560</xdr:colOff>
                    <xdr:row>2</xdr:row>
                    <xdr:rowOff>144780</xdr:rowOff>
                  </from>
                  <to>
                    <xdr:col>7</xdr:col>
                    <xdr:colOff>762000</xdr:colOff>
                    <xdr:row>2</xdr:row>
                    <xdr:rowOff>403860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Natural Diamond Data</vt:lpstr>
      <vt:lpstr>Lab-Grown Diamond Data</vt:lpstr>
      <vt:lpstr>Data Summary</vt:lpstr>
      <vt:lpstr>Q2 Heat Map</vt:lpstr>
      <vt:lpstr>Q3 Scatter-Line Charts</vt:lpstr>
      <vt:lpstr>Q4 Regresstion Equation</vt:lpstr>
      <vt:lpstr>Q5 Covarriance</vt:lpstr>
      <vt:lpstr>Q6 Interval Estimate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Anh Ta</dc:creator>
  <cp:keywords/>
  <dc:description/>
  <cp:lastModifiedBy>Anh Ta</cp:lastModifiedBy>
  <cp:revision/>
  <cp:lastPrinted>2023-04-23T05:15:45Z</cp:lastPrinted>
  <dcterms:created xsi:type="dcterms:W3CDTF">2023-04-11T23:58:00Z</dcterms:created>
  <dcterms:modified xsi:type="dcterms:W3CDTF">2023-12-09T00:40:39Z</dcterms:modified>
  <cp:category/>
  <cp:contentStatus/>
</cp:coreProperties>
</file>